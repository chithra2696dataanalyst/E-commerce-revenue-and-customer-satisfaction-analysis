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Ashok\Documents\"/>
    </mc:Choice>
  </mc:AlternateContent>
  <xr:revisionPtr revIDLastSave="0" documentId="13_ncr:1_{18708307-E223-4B25-AE47-9BFE7B320724}" xr6:coauthVersionLast="47" xr6:coauthVersionMax="47" xr10:uidLastSave="{00000000-0000-0000-0000-000000000000}"/>
  <bookViews>
    <workbookView xWindow="-110" yWindow="-110" windowWidth="19420" windowHeight="10420" activeTab="2" xr2:uid="{124068D1-BD72-46E5-A422-2898F9B29046}"/>
  </bookViews>
  <sheets>
    <sheet name="E_commerce sales original data" sheetId="4" r:id="rId1"/>
    <sheet name="pivot tables" sheetId="6" r:id="rId2"/>
    <sheet name="E_commerce_sales_cleaned _data" sheetId="1" r:id="rId3"/>
  </sheets>
  <definedNames>
    <definedName name="_xlnm._FilterDatabase" localSheetId="0" hidden="1">'E_commerce sales original data'!$A$1:$L$501</definedName>
    <definedName name="_xlnm._FilterDatabase" localSheetId="2" hidden="1">'E_commerce_sales_cleaned _data'!$R$1:$R$501</definedName>
  </definedName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94" i="1" l="1"/>
  <c r="T5" i="1"/>
  <c r="T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2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2" i="1"/>
  <c r="Q483" i="1"/>
  <c r="R483" i="1" s="1"/>
  <c r="Q2" i="1"/>
  <c r="R2" i="1" s="1"/>
  <c r="Q3" i="1"/>
  <c r="R3" i="1" s="1"/>
  <c r="Q4" i="1"/>
  <c r="R4" i="1" s="1"/>
  <c r="Q5" i="1"/>
  <c r="R5" i="1" s="1"/>
  <c r="Q6" i="1"/>
  <c r="R6" i="1" s="1"/>
  <c r="Q7" i="1"/>
  <c r="R7" i="1" s="1"/>
  <c r="Q8" i="1"/>
  <c r="R8" i="1" s="1"/>
  <c r="Q9" i="1"/>
  <c r="R9" i="1" s="1"/>
  <c r="Q10" i="1"/>
  <c r="R10" i="1" s="1"/>
  <c r="Q11" i="1"/>
  <c r="R11" i="1" s="1"/>
  <c r="Q12" i="1"/>
  <c r="R12" i="1" s="1"/>
  <c r="Q13" i="1"/>
  <c r="R13" i="1" s="1"/>
  <c r="Q14" i="1"/>
  <c r="R14" i="1" s="1"/>
  <c r="Q15" i="1"/>
  <c r="R15" i="1" s="1"/>
  <c r="Q16" i="1"/>
  <c r="R16" i="1" s="1"/>
  <c r="Q17" i="1"/>
  <c r="R17" i="1" s="1"/>
  <c r="Q18" i="1"/>
  <c r="R18" i="1" s="1"/>
  <c r="Q19" i="1"/>
  <c r="R19" i="1" s="1"/>
  <c r="Q20" i="1"/>
  <c r="R20" i="1" s="1"/>
  <c r="Q21" i="1"/>
  <c r="R21" i="1" s="1"/>
  <c r="Q22" i="1"/>
  <c r="R22" i="1" s="1"/>
  <c r="Q23" i="1"/>
  <c r="R23" i="1" s="1"/>
  <c r="Q24" i="1"/>
  <c r="R24" i="1" s="1"/>
  <c r="Q25" i="1"/>
  <c r="R25" i="1" s="1"/>
  <c r="Q26" i="1"/>
  <c r="R26" i="1" s="1"/>
  <c r="Q27" i="1"/>
  <c r="R27" i="1" s="1"/>
  <c r="Q28" i="1"/>
  <c r="R28" i="1" s="1"/>
  <c r="Q29" i="1"/>
  <c r="R29" i="1" s="1"/>
  <c r="Q30" i="1"/>
  <c r="R30" i="1" s="1"/>
  <c r="Q31" i="1"/>
  <c r="R31" i="1" s="1"/>
  <c r="Q32" i="1"/>
  <c r="R32" i="1" s="1"/>
  <c r="Q33" i="1"/>
  <c r="R33" i="1" s="1"/>
  <c r="Q34" i="1"/>
  <c r="R34" i="1" s="1"/>
  <c r="Q35" i="1"/>
  <c r="R35" i="1" s="1"/>
  <c r="Q36" i="1"/>
  <c r="R36" i="1" s="1"/>
  <c r="Q37" i="1"/>
  <c r="R37" i="1" s="1"/>
  <c r="Q38" i="1"/>
  <c r="R38" i="1" s="1"/>
  <c r="Q39" i="1"/>
  <c r="R39" i="1" s="1"/>
  <c r="Q40" i="1"/>
  <c r="R40" i="1" s="1"/>
  <c r="Q41" i="1"/>
  <c r="R41" i="1" s="1"/>
  <c r="Q42" i="1"/>
  <c r="R42" i="1" s="1"/>
  <c r="Q43" i="1"/>
  <c r="R43" i="1" s="1"/>
  <c r="Q44" i="1"/>
  <c r="R44" i="1" s="1"/>
  <c r="Q45" i="1"/>
  <c r="R45" i="1" s="1"/>
  <c r="Q46" i="1"/>
  <c r="R46" i="1" s="1"/>
  <c r="Q47" i="1"/>
  <c r="R47" i="1" s="1"/>
  <c r="Q48" i="1"/>
  <c r="R48" i="1" s="1"/>
  <c r="Q49" i="1"/>
  <c r="R49" i="1" s="1"/>
  <c r="Q50" i="1"/>
  <c r="R50" i="1" s="1"/>
  <c r="Q51" i="1"/>
  <c r="R51" i="1" s="1"/>
  <c r="Q52" i="1"/>
  <c r="R52" i="1" s="1"/>
  <c r="Q53" i="1"/>
  <c r="R53" i="1" s="1"/>
  <c r="Q54" i="1"/>
  <c r="R54" i="1" s="1"/>
  <c r="Q55" i="1"/>
  <c r="R55" i="1" s="1"/>
  <c r="Q56" i="1"/>
  <c r="R56" i="1" s="1"/>
  <c r="Q57" i="1"/>
  <c r="R57" i="1" s="1"/>
  <c r="Q58" i="1"/>
  <c r="R58" i="1" s="1"/>
  <c r="Q59" i="1"/>
  <c r="R59" i="1" s="1"/>
  <c r="Q60" i="1"/>
  <c r="R60" i="1" s="1"/>
  <c r="Q61" i="1"/>
  <c r="R61" i="1" s="1"/>
  <c r="Q62" i="1"/>
  <c r="R62" i="1" s="1"/>
  <c r="Q63" i="1"/>
  <c r="R63" i="1" s="1"/>
  <c r="Q64" i="1"/>
  <c r="R64" i="1" s="1"/>
  <c r="Q65" i="1"/>
  <c r="R65" i="1" s="1"/>
  <c r="Q66" i="1"/>
  <c r="R66" i="1" s="1"/>
  <c r="Q67" i="1"/>
  <c r="R67" i="1" s="1"/>
  <c r="Q68" i="1"/>
  <c r="R68" i="1" s="1"/>
  <c r="Q69" i="1"/>
  <c r="R69" i="1" s="1"/>
  <c r="Q70" i="1"/>
  <c r="R70" i="1" s="1"/>
  <c r="Q71" i="1"/>
  <c r="R71" i="1" s="1"/>
  <c r="Q72" i="1"/>
  <c r="R72" i="1" s="1"/>
  <c r="Q73" i="1"/>
  <c r="R73" i="1" s="1"/>
  <c r="Q74" i="1"/>
  <c r="R74" i="1" s="1"/>
  <c r="Q75" i="1"/>
  <c r="R75" i="1" s="1"/>
  <c r="Q76" i="1"/>
  <c r="R76" i="1" s="1"/>
  <c r="Q77" i="1"/>
  <c r="R77" i="1" s="1"/>
  <c r="Q78" i="1"/>
  <c r="R78" i="1" s="1"/>
  <c r="Q79" i="1"/>
  <c r="R79" i="1" s="1"/>
  <c r="Q80" i="1"/>
  <c r="R80" i="1" s="1"/>
  <c r="Q81" i="1"/>
  <c r="R81" i="1" s="1"/>
  <c r="Q82" i="1"/>
  <c r="R82" i="1" s="1"/>
  <c r="Q83" i="1"/>
  <c r="R83" i="1" s="1"/>
  <c r="Q84" i="1"/>
  <c r="R84" i="1" s="1"/>
  <c r="Q85" i="1"/>
  <c r="R85" i="1" s="1"/>
  <c r="Q86" i="1"/>
  <c r="R86" i="1" s="1"/>
  <c r="Q87" i="1"/>
  <c r="R87" i="1" s="1"/>
  <c r="Q88" i="1"/>
  <c r="R88" i="1" s="1"/>
  <c r="Q89" i="1"/>
  <c r="R89" i="1" s="1"/>
  <c r="Q90" i="1"/>
  <c r="R90" i="1" s="1"/>
  <c r="Q91" i="1"/>
  <c r="R91" i="1" s="1"/>
  <c r="Q92" i="1"/>
  <c r="R92" i="1" s="1"/>
  <c r="Q93" i="1"/>
  <c r="R93" i="1" s="1"/>
  <c r="R94" i="1"/>
  <c r="Q95" i="1"/>
  <c r="R95" i="1" s="1"/>
  <c r="Q96" i="1"/>
  <c r="R96" i="1" s="1"/>
  <c r="Q97" i="1"/>
  <c r="R97" i="1" s="1"/>
  <c r="Q98" i="1"/>
  <c r="R98" i="1" s="1"/>
  <c r="Q99" i="1"/>
  <c r="R99" i="1" s="1"/>
  <c r="Q100" i="1"/>
  <c r="R100" i="1" s="1"/>
  <c r="Q101" i="1"/>
  <c r="R101" i="1" s="1"/>
  <c r="Q102" i="1"/>
  <c r="R102" i="1" s="1"/>
  <c r="Q103" i="1"/>
  <c r="R103" i="1" s="1"/>
  <c r="Q104" i="1"/>
  <c r="R104" i="1" s="1"/>
  <c r="Q105" i="1"/>
  <c r="R105" i="1" s="1"/>
  <c r="Q106" i="1"/>
  <c r="R106" i="1" s="1"/>
  <c r="Q107" i="1"/>
  <c r="R107" i="1" s="1"/>
  <c r="Q108" i="1"/>
  <c r="R108" i="1" s="1"/>
  <c r="Q109" i="1"/>
  <c r="R109" i="1" s="1"/>
  <c r="Q110" i="1"/>
  <c r="R110" i="1" s="1"/>
  <c r="Q111" i="1"/>
  <c r="R111" i="1" s="1"/>
  <c r="Q112" i="1"/>
  <c r="R112" i="1" s="1"/>
  <c r="Q113" i="1"/>
  <c r="R113" i="1" s="1"/>
  <c r="Q114" i="1"/>
  <c r="R114" i="1" s="1"/>
  <c r="Q115" i="1"/>
  <c r="R115" i="1" s="1"/>
  <c r="Q116" i="1"/>
  <c r="R116" i="1" s="1"/>
  <c r="Q117" i="1"/>
  <c r="R117" i="1" s="1"/>
  <c r="Q118" i="1"/>
  <c r="R118" i="1" s="1"/>
  <c r="Q119" i="1"/>
  <c r="R119" i="1" s="1"/>
  <c r="Q120" i="1"/>
  <c r="R120" i="1" s="1"/>
  <c r="Q121" i="1"/>
  <c r="R121" i="1" s="1"/>
  <c r="Q122" i="1"/>
  <c r="R122" i="1" s="1"/>
  <c r="Q123" i="1"/>
  <c r="R123" i="1" s="1"/>
  <c r="Q124" i="1"/>
  <c r="R124" i="1" s="1"/>
  <c r="Q125" i="1"/>
  <c r="R125" i="1" s="1"/>
  <c r="Q126" i="1"/>
  <c r="R126" i="1" s="1"/>
  <c r="Q127" i="1"/>
  <c r="R127" i="1" s="1"/>
  <c r="Q128" i="1"/>
  <c r="R128" i="1" s="1"/>
  <c r="Q129" i="1"/>
  <c r="R129" i="1" s="1"/>
  <c r="Q130" i="1"/>
  <c r="R130" i="1" s="1"/>
  <c r="Q131" i="1"/>
  <c r="R131" i="1" s="1"/>
  <c r="Q132" i="1"/>
  <c r="R132" i="1" s="1"/>
  <c r="Q133" i="1"/>
  <c r="R133" i="1" s="1"/>
  <c r="Q134" i="1"/>
  <c r="R134" i="1" s="1"/>
  <c r="Q135" i="1"/>
  <c r="R135" i="1" s="1"/>
  <c r="Q136" i="1"/>
  <c r="R136" i="1" s="1"/>
  <c r="Q137" i="1"/>
  <c r="R137" i="1" s="1"/>
  <c r="Q138" i="1"/>
  <c r="R138" i="1" s="1"/>
  <c r="Q139" i="1"/>
  <c r="R139" i="1" s="1"/>
  <c r="Q140" i="1"/>
  <c r="R140" i="1" s="1"/>
  <c r="Q141" i="1"/>
  <c r="R141" i="1" s="1"/>
  <c r="Q142" i="1"/>
  <c r="R142" i="1" s="1"/>
  <c r="Q143" i="1"/>
  <c r="R143" i="1" s="1"/>
  <c r="Q144" i="1"/>
  <c r="R144" i="1" s="1"/>
  <c r="Q145" i="1"/>
  <c r="R145" i="1" s="1"/>
  <c r="Q146" i="1"/>
  <c r="R146" i="1" s="1"/>
  <c r="Q147" i="1"/>
  <c r="R147" i="1" s="1"/>
  <c r="Q148" i="1"/>
  <c r="R148" i="1" s="1"/>
  <c r="Q149" i="1"/>
  <c r="R149" i="1" s="1"/>
  <c r="Q150" i="1"/>
  <c r="R150" i="1" s="1"/>
  <c r="Q151" i="1"/>
  <c r="R151" i="1" s="1"/>
  <c r="Q152" i="1"/>
  <c r="R152" i="1" s="1"/>
  <c r="Q153" i="1"/>
  <c r="R153" i="1" s="1"/>
  <c r="Q154" i="1"/>
  <c r="R154" i="1" s="1"/>
  <c r="Q155" i="1"/>
  <c r="R155" i="1" s="1"/>
  <c r="Q156" i="1"/>
  <c r="R156" i="1" s="1"/>
  <c r="Q157" i="1"/>
  <c r="R157" i="1" s="1"/>
  <c r="Q158" i="1"/>
  <c r="R158" i="1" s="1"/>
  <c r="Q159" i="1"/>
  <c r="R159" i="1" s="1"/>
  <c r="Q160" i="1"/>
  <c r="R160" i="1" s="1"/>
  <c r="Q161" i="1"/>
  <c r="R161" i="1" s="1"/>
  <c r="Q162" i="1"/>
  <c r="R162" i="1" s="1"/>
  <c r="Q163" i="1"/>
  <c r="R163" i="1" s="1"/>
  <c r="Q164" i="1"/>
  <c r="R164" i="1" s="1"/>
  <c r="Q165" i="1"/>
  <c r="R165" i="1" s="1"/>
  <c r="Q166" i="1"/>
  <c r="R166" i="1" s="1"/>
  <c r="Q167" i="1"/>
  <c r="R167" i="1" s="1"/>
  <c r="Q168" i="1"/>
  <c r="R168" i="1" s="1"/>
  <c r="Q169" i="1"/>
  <c r="R169" i="1" s="1"/>
  <c r="Q170" i="1"/>
  <c r="R170" i="1" s="1"/>
  <c r="Q171" i="1"/>
  <c r="R171" i="1" s="1"/>
  <c r="Q172" i="1"/>
  <c r="R172" i="1" s="1"/>
  <c r="Q173" i="1"/>
  <c r="R173" i="1" s="1"/>
  <c r="Q174" i="1"/>
  <c r="R174" i="1" s="1"/>
  <c r="Q175" i="1"/>
  <c r="R175" i="1" s="1"/>
  <c r="Q176" i="1"/>
  <c r="R176" i="1" s="1"/>
  <c r="Q177" i="1"/>
  <c r="R177" i="1" s="1"/>
  <c r="Q178" i="1"/>
  <c r="R178" i="1" s="1"/>
  <c r="Q179" i="1"/>
  <c r="R179" i="1" s="1"/>
  <c r="Q180" i="1"/>
  <c r="R180" i="1" s="1"/>
  <c r="Q181" i="1"/>
  <c r="R181" i="1" s="1"/>
  <c r="Q182" i="1"/>
  <c r="R182" i="1" s="1"/>
  <c r="Q183" i="1"/>
  <c r="R183" i="1" s="1"/>
  <c r="Q184" i="1"/>
  <c r="R184" i="1" s="1"/>
  <c r="Q185" i="1"/>
  <c r="R185" i="1" s="1"/>
  <c r="Q186" i="1"/>
  <c r="R186" i="1" s="1"/>
  <c r="Q187" i="1"/>
  <c r="R187" i="1" s="1"/>
  <c r="Q188" i="1"/>
  <c r="R188" i="1" s="1"/>
  <c r="Q189" i="1"/>
  <c r="R189" i="1" s="1"/>
  <c r="Q190" i="1"/>
  <c r="R190" i="1" s="1"/>
  <c r="Q191" i="1"/>
  <c r="R191" i="1" s="1"/>
  <c r="Q192" i="1"/>
  <c r="R192" i="1" s="1"/>
  <c r="Q193" i="1"/>
  <c r="R193" i="1" s="1"/>
  <c r="Q194" i="1"/>
  <c r="R194" i="1" s="1"/>
  <c r="Q195" i="1"/>
  <c r="R195" i="1" s="1"/>
  <c r="Q196" i="1"/>
  <c r="R196" i="1" s="1"/>
  <c r="Q197" i="1"/>
  <c r="R197" i="1" s="1"/>
  <c r="Q198" i="1"/>
  <c r="R198" i="1" s="1"/>
  <c r="Q199" i="1"/>
  <c r="R199" i="1" s="1"/>
  <c r="Q200" i="1"/>
  <c r="R200" i="1" s="1"/>
  <c r="Q201" i="1"/>
  <c r="R201" i="1" s="1"/>
  <c r="Q202" i="1"/>
  <c r="R202" i="1" s="1"/>
  <c r="Q203" i="1"/>
  <c r="R203" i="1" s="1"/>
  <c r="Q204" i="1"/>
  <c r="R204" i="1" s="1"/>
  <c r="Q205" i="1"/>
  <c r="R205" i="1" s="1"/>
  <c r="Q206" i="1"/>
  <c r="R206" i="1" s="1"/>
  <c r="Q207" i="1"/>
  <c r="R207" i="1" s="1"/>
  <c r="Q208" i="1"/>
  <c r="R208" i="1" s="1"/>
  <c r="Q209" i="1"/>
  <c r="R209" i="1" s="1"/>
  <c r="Q210" i="1"/>
  <c r="R210" i="1" s="1"/>
  <c r="Q211" i="1"/>
  <c r="R211" i="1" s="1"/>
  <c r="Q212" i="1"/>
  <c r="R212" i="1" s="1"/>
  <c r="Q213" i="1"/>
  <c r="R213" i="1" s="1"/>
  <c r="Q214" i="1"/>
  <c r="R214" i="1" s="1"/>
  <c r="Q215" i="1"/>
  <c r="R215" i="1" s="1"/>
  <c r="Q216" i="1"/>
  <c r="R216" i="1" s="1"/>
  <c r="Q217" i="1"/>
  <c r="R217" i="1" s="1"/>
  <c r="Q218" i="1"/>
  <c r="R218" i="1" s="1"/>
  <c r="Q219" i="1"/>
  <c r="R219" i="1" s="1"/>
  <c r="Q220" i="1"/>
  <c r="R220" i="1" s="1"/>
  <c r="Q221" i="1"/>
  <c r="R221" i="1" s="1"/>
  <c r="Q222" i="1"/>
  <c r="R222" i="1" s="1"/>
  <c r="Q223" i="1"/>
  <c r="R223" i="1" s="1"/>
  <c r="Q224" i="1"/>
  <c r="R224" i="1" s="1"/>
  <c r="Q225" i="1"/>
  <c r="R225" i="1" s="1"/>
  <c r="Q226" i="1"/>
  <c r="R226" i="1" s="1"/>
  <c r="Q227" i="1"/>
  <c r="R227" i="1" s="1"/>
  <c r="Q228" i="1"/>
  <c r="R228" i="1" s="1"/>
  <c r="Q229" i="1"/>
  <c r="R229" i="1" s="1"/>
  <c r="Q230" i="1"/>
  <c r="R230" i="1" s="1"/>
  <c r="Q231" i="1"/>
  <c r="R231" i="1" s="1"/>
  <c r="Q232" i="1"/>
  <c r="R232" i="1" s="1"/>
  <c r="Q233" i="1"/>
  <c r="R233" i="1" s="1"/>
  <c r="Q234" i="1"/>
  <c r="R234" i="1" s="1"/>
  <c r="Q235" i="1"/>
  <c r="R235" i="1" s="1"/>
  <c r="Q236" i="1"/>
  <c r="R236" i="1" s="1"/>
  <c r="Q237" i="1"/>
  <c r="R237" i="1" s="1"/>
  <c r="Q238" i="1"/>
  <c r="R238" i="1" s="1"/>
  <c r="Q239" i="1"/>
  <c r="R239" i="1" s="1"/>
  <c r="Q240" i="1"/>
  <c r="R240" i="1" s="1"/>
  <c r="Q241" i="1"/>
  <c r="R241" i="1" s="1"/>
  <c r="Q242" i="1"/>
  <c r="R242" i="1" s="1"/>
  <c r="Q243" i="1"/>
  <c r="R243" i="1" s="1"/>
  <c r="Q244" i="1"/>
  <c r="R244" i="1" s="1"/>
  <c r="Q245" i="1"/>
  <c r="R245" i="1" s="1"/>
  <c r="Q246" i="1"/>
  <c r="R246" i="1" s="1"/>
  <c r="Q247" i="1"/>
  <c r="R247" i="1" s="1"/>
  <c r="Q248" i="1"/>
  <c r="R248" i="1" s="1"/>
  <c r="Q249" i="1"/>
  <c r="R249" i="1" s="1"/>
  <c r="Q250" i="1"/>
  <c r="R250" i="1" s="1"/>
  <c r="Q251" i="1"/>
  <c r="R251" i="1" s="1"/>
  <c r="Q252" i="1"/>
  <c r="R252" i="1" s="1"/>
  <c r="Q253" i="1"/>
  <c r="R253" i="1" s="1"/>
  <c r="Q254" i="1"/>
  <c r="R254" i="1" s="1"/>
  <c r="Q255" i="1"/>
  <c r="R255" i="1" s="1"/>
  <c r="Q256" i="1"/>
  <c r="R256" i="1" s="1"/>
  <c r="Q257" i="1"/>
  <c r="R257" i="1" s="1"/>
  <c r="Q258" i="1"/>
  <c r="R258" i="1" s="1"/>
  <c r="Q259" i="1"/>
  <c r="R259" i="1" s="1"/>
  <c r="Q260" i="1"/>
  <c r="R260" i="1" s="1"/>
  <c r="Q261" i="1"/>
  <c r="R261" i="1" s="1"/>
  <c r="Q262" i="1"/>
  <c r="R262" i="1" s="1"/>
  <c r="Q263" i="1"/>
  <c r="R263" i="1" s="1"/>
  <c r="Q264" i="1"/>
  <c r="R264" i="1" s="1"/>
  <c r="Q265" i="1"/>
  <c r="R265" i="1" s="1"/>
  <c r="Q266" i="1"/>
  <c r="R266" i="1" s="1"/>
  <c r="Q267" i="1"/>
  <c r="R267" i="1" s="1"/>
  <c r="Q268" i="1"/>
  <c r="R268" i="1" s="1"/>
  <c r="Q269" i="1"/>
  <c r="R269" i="1" s="1"/>
  <c r="Q270" i="1"/>
  <c r="R270" i="1" s="1"/>
  <c r="Q271" i="1"/>
  <c r="R271" i="1" s="1"/>
  <c r="Q272" i="1"/>
  <c r="R272" i="1" s="1"/>
  <c r="Q273" i="1"/>
  <c r="R273" i="1" s="1"/>
  <c r="Q274" i="1"/>
  <c r="R274" i="1" s="1"/>
  <c r="Q275" i="1"/>
  <c r="R275" i="1" s="1"/>
  <c r="Q276" i="1"/>
  <c r="R276" i="1" s="1"/>
  <c r="Q277" i="1"/>
  <c r="R277" i="1" s="1"/>
  <c r="Q278" i="1"/>
  <c r="R278" i="1" s="1"/>
  <c r="Q279" i="1"/>
  <c r="R279" i="1" s="1"/>
  <c r="Q280" i="1"/>
  <c r="R280" i="1" s="1"/>
  <c r="Q281" i="1"/>
  <c r="R281" i="1" s="1"/>
  <c r="Q282" i="1"/>
  <c r="R282" i="1" s="1"/>
  <c r="Q283" i="1"/>
  <c r="R283" i="1" s="1"/>
  <c r="Q284" i="1"/>
  <c r="R284" i="1" s="1"/>
  <c r="Q285" i="1"/>
  <c r="R285" i="1" s="1"/>
  <c r="Q286" i="1"/>
  <c r="R286" i="1" s="1"/>
  <c r="Q287" i="1"/>
  <c r="R287" i="1" s="1"/>
  <c r="Q288" i="1"/>
  <c r="R288" i="1" s="1"/>
  <c r="Q289" i="1"/>
  <c r="R289" i="1" s="1"/>
  <c r="Q290" i="1"/>
  <c r="R290" i="1" s="1"/>
  <c r="Q291" i="1"/>
  <c r="R291" i="1" s="1"/>
  <c r="Q292" i="1"/>
  <c r="R292" i="1" s="1"/>
  <c r="Q293" i="1"/>
  <c r="R293" i="1" s="1"/>
  <c r="Q294" i="1"/>
  <c r="R294" i="1" s="1"/>
  <c r="Q295" i="1"/>
  <c r="R295" i="1" s="1"/>
  <c r="Q296" i="1"/>
  <c r="R296" i="1" s="1"/>
  <c r="Q297" i="1"/>
  <c r="R297" i="1" s="1"/>
  <c r="Q298" i="1"/>
  <c r="R298" i="1" s="1"/>
  <c r="Q299" i="1"/>
  <c r="R299" i="1" s="1"/>
  <c r="Q300" i="1"/>
  <c r="R300" i="1" s="1"/>
  <c r="Q301" i="1"/>
  <c r="R301" i="1" s="1"/>
  <c r="Q302" i="1"/>
  <c r="R302" i="1" s="1"/>
  <c r="Q303" i="1"/>
  <c r="R303" i="1" s="1"/>
  <c r="Q304" i="1"/>
  <c r="R304" i="1" s="1"/>
  <c r="Q305" i="1"/>
  <c r="R305" i="1" s="1"/>
  <c r="Q306" i="1"/>
  <c r="R306" i="1" s="1"/>
  <c r="Q307" i="1"/>
  <c r="R307" i="1" s="1"/>
  <c r="Q308" i="1"/>
  <c r="R308" i="1" s="1"/>
  <c r="Q309" i="1"/>
  <c r="R309" i="1" s="1"/>
  <c r="Q310" i="1"/>
  <c r="R310" i="1" s="1"/>
  <c r="Q311" i="1"/>
  <c r="R311" i="1" s="1"/>
  <c r="Q312" i="1"/>
  <c r="R312" i="1" s="1"/>
  <c r="Q313" i="1"/>
  <c r="R313" i="1" s="1"/>
  <c r="Q314" i="1"/>
  <c r="R314" i="1" s="1"/>
  <c r="Q315" i="1"/>
  <c r="R315" i="1" s="1"/>
  <c r="Q316" i="1"/>
  <c r="R316" i="1" s="1"/>
  <c r="Q317" i="1"/>
  <c r="R317" i="1" s="1"/>
  <c r="Q318" i="1"/>
  <c r="R318" i="1" s="1"/>
  <c r="Q319" i="1"/>
  <c r="R319" i="1" s="1"/>
  <c r="Q320" i="1"/>
  <c r="R320" i="1" s="1"/>
  <c r="Q321" i="1"/>
  <c r="R321" i="1" s="1"/>
  <c r="Q322" i="1"/>
  <c r="R322" i="1" s="1"/>
  <c r="Q323" i="1"/>
  <c r="R323" i="1" s="1"/>
  <c r="Q324" i="1"/>
  <c r="R324" i="1" s="1"/>
  <c r="Q325" i="1"/>
  <c r="R325" i="1" s="1"/>
  <c r="Q326" i="1"/>
  <c r="R326" i="1" s="1"/>
  <c r="Q327" i="1"/>
  <c r="R327" i="1" s="1"/>
  <c r="Q328" i="1"/>
  <c r="R328" i="1" s="1"/>
  <c r="Q329" i="1"/>
  <c r="R329" i="1" s="1"/>
  <c r="Q330" i="1"/>
  <c r="R330" i="1" s="1"/>
  <c r="Q331" i="1"/>
  <c r="R331" i="1" s="1"/>
  <c r="Q332" i="1"/>
  <c r="R332" i="1" s="1"/>
  <c r="Q333" i="1"/>
  <c r="R333" i="1" s="1"/>
  <c r="Q334" i="1"/>
  <c r="R334" i="1" s="1"/>
  <c r="Q335" i="1"/>
  <c r="R335" i="1" s="1"/>
  <c r="Q336" i="1"/>
  <c r="R336" i="1" s="1"/>
  <c r="Q337" i="1"/>
  <c r="R337" i="1" s="1"/>
  <c r="Q338" i="1"/>
  <c r="R338" i="1" s="1"/>
  <c r="Q339" i="1"/>
  <c r="R339" i="1" s="1"/>
  <c r="Q340" i="1"/>
  <c r="R340" i="1" s="1"/>
  <c r="Q341" i="1"/>
  <c r="R341" i="1" s="1"/>
  <c r="Q342" i="1"/>
  <c r="R342" i="1" s="1"/>
  <c r="Q343" i="1"/>
  <c r="R343" i="1" s="1"/>
  <c r="Q344" i="1"/>
  <c r="R344" i="1" s="1"/>
  <c r="Q345" i="1"/>
  <c r="R345" i="1" s="1"/>
  <c r="Q346" i="1"/>
  <c r="R346" i="1" s="1"/>
  <c r="Q347" i="1"/>
  <c r="R347" i="1" s="1"/>
  <c r="Q348" i="1"/>
  <c r="R348" i="1" s="1"/>
  <c r="Q349" i="1"/>
  <c r="R349" i="1" s="1"/>
  <c r="Q350" i="1"/>
  <c r="R350" i="1" s="1"/>
  <c r="Q351" i="1"/>
  <c r="R351" i="1" s="1"/>
  <c r="Q352" i="1"/>
  <c r="R352" i="1" s="1"/>
  <c r="Q353" i="1"/>
  <c r="R353" i="1" s="1"/>
  <c r="Q354" i="1"/>
  <c r="R354" i="1" s="1"/>
  <c r="Q355" i="1"/>
  <c r="R355" i="1" s="1"/>
  <c r="Q356" i="1"/>
  <c r="R356" i="1" s="1"/>
  <c r="Q357" i="1"/>
  <c r="R357" i="1" s="1"/>
  <c r="Q358" i="1"/>
  <c r="R358" i="1" s="1"/>
  <c r="Q359" i="1"/>
  <c r="R359" i="1" s="1"/>
  <c r="Q360" i="1"/>
  <c r="R360" i="1" s="1"/>
  <c r="Q361" i="1"/>
  <c r="R361" i="1" s="1"/>
  <c r="Q362" i="1"/>
  <c r="R362" i="1" s="1"/>
  <c r="Q363" i="1"/>
  <c r="R363" i="1" s="1"/>
  <c r="Q364" i="1"/>
  <c r="R364" i="1" s="1"/>
  <c r="Q365" i="1"/>
  <c r="R365" i="1" s="1"/>
  <c r="Q366" i="1"/>
  <c r="R366" i="1" s="1"/>
  <c r="Q367" i="1"/>
  <c r="R367" i="1" s="1"/>
  <c r="Q368" i="1"/>
  <c r="R368" i="1" s="1"/>
  <c r="Q369" i="1"/>
  <c r="R369" i="1" s="1"/>
  <c r="Q370" i="1"/>
  <c r="R370" i="1" s="1"/>
  <c r="Q371" i="1"/>
  <c r="R371" i="1" s="1"/>
  <c r="Q372" i="1"/>
  <c r="R372" i="1" s="1"/>
  <c r="Q373" i="1"/>
  <c r="R373" i="1" s="1"/>
  <c r="Q374" i="1"/>
  <c r="R374" i="1" s="1"/>
  <c r="Q375" i="1"/>
  <c r="R375" i="1" s="1"/>
  <c r="Q376" i="1"/>
  <c r="R376" i="1" s="1"/>
  <c r="Q377" i="1"/>
  <c r="R377" i="1" s="1"/>
  <c r="Q378" i="1"/>
  <c r="R378" i="1" s="1"/>
  <c r="Q379" i="1"/>
  <c r="R379" i="1" s="1"/>
  <c r="Q380" i="1"/>
  <c r="R380" i="1" s="1"/>
  <c r="Q381" i="1"/>
  <c r="R381" i="1" s="1"/>
  <c r="Q382" i="1"/>
  <c r="R382" i="1" s="1"/>
  <c r="Q383" i="1"/>
  <c r="R383" i="1" s="1"/>
  <c r="Q384" i="1"/>
  <c r="R384" i="1" s="1"/>
  <c r="Q385" i="1"/>
  <c r="R385" i="1" s="1"/>
  <c r="Q386" i="1"/>
  <c r="R386" i="1" s="1"/>
  <c r="Q387" i="1"/>
  <c r="R387" i="1" s="1"/>
  <c r="Q388" i="1"/>
  <c r="R388" i="1" s="1"/>
  <c r="Q389" i="1"/>
  <c r="R389" i="1" s="1"/>
  <c r="Q390" i="1"/>
  <c r="R390" i="1" s="1"/>
  <c r="Q391" i="1"/>
  <c r="R391" i="1" s="1"/>
  <c r="Q392" i="1"/>
  <c r="R392" i="1" s="1"/>
  <c r="Q393" i="1"/>
  <c r="R393" i="1" s="1"/>
  <c r="Q394" i="1"/>
  <c r="R394" i="1" s="1"/>
  <c r="Q395" i="1"/>
  <c r="R395" i="1" s="1"/>
  <c r="Q396" i="1"/>
  <c r="R396" i="1" s="1"/>
  <c r="Q397" i="1"/>
  <c r="R397" i="1" s="1"/>
  <c r="Q398" i="1"/>
  <c r="R398" i="1" s="1"/>
  <c r="Q399" i="1"/>
  <c r="R399" i="1" s="1"/>
  <c r="Q400" i="1"/>
  <c r="R400" i="1" s="1"/>
  <c r="Q401" i="1"/>
  <c r="R401" i="1" s="1"/>
  <c r="Q402" i="1"/>
  <c r="R402" i="1" s="1"/>
  <c r="Q403" i="1"/>
  <c r="R403" i="1" s="1"/>
  <c r="Q404" i="1"/>
  <c r="R404" i="1" s="1"/>
  <c r="Q405" i="1"/>
  <c r="R405" i="1" s="1"/>
  <c r="Q406" i="1"/>
  <c r="R406" i="1" s="1"/>
  <c r="Q407" i="1"/>
  <c r="R407" i="1" s="1"/>
  <c r="Q408" i="1"/>
  <c r="R408" i="1" s="1"/>
  <c r="Q409" i="1"/>
  <c r="R409" i="1" s="1"/>
  <c r="Q410" i="1"/>
  <c r="R410" i="1" s="1"/>
  <c r="Q411" i="1"/>
  <c r="R411" i="1" s="1"/>
  <c r="Q412" i="1"/>
  <c r="R412" i="1" s="1"/>
  <c r="Q413" i="1"/>
  <c r="R413" i="1" s="1"/>
  <c r="Q414" i="1"/>
  <c r="R414" i="1" s="1"/>
  <c r="Q415" i="1"/>
  <c r="R415" i="1" s="1"/>
  <c r="Q416" i="1"/>
  <c r="R416" i="1" s="1"/>
  <c r="Q417" i="1"/>
  <c r="R417" i="1" s="1"/>
  <c r="Q418" i="1"/>
  <c r="R418" i="1" s="1"/>
  <c r="Q419" i="1"/>
  <c r="R419" i="1" s="1"/>
  <c r="Q420" i="1"/>
  <c r="R420" i="1" s="1"/>
  <c r="Q421" i="1"/>
  <c r="R421" i="1" s="1"/>
  <c r="Q422" i="1"/>
  <c r="R422" i="1" s="1"/>
  <c r="Q423" i="1"/>
  <c r="R423" i="1" s="1"/>
  <c r="Q424" i="1"/>
  <c r="R424" i="1" s="1"/>
  <c r="Q425" i="1"/>
  <c r="R425" i="1" s="1"/>
  <c r="Q426" i="1"/>
  <c r="R426" i="1" s="1"/>
  <c r="Q427" i="1"/>
  <c r="R427" i="1" s="1"/>
  <c r="Q428" i="1"/>
  <c r="R428" i="1" s="1"/>
  <c r="Q429" i="1"/>
  <c r="R429" i="1" s="1"/>
  <c r="Q430" i="1"/>
  <c r="R430" i="1" s="1"/>
  <c r="Q431" i="1"/>
  <c r="R431" i="1" s="1"/>
  <c r="Q432" i="1"/>
  <c r="R432" i="1" s="1"/>
  <c r="Q433" i="1"/>
  <c r="R433" i="1" s="1"/>
  <c r="Q434" i="1"/>
  <c r="R434" i="1" s="1"/>
  <c r="Q435" i="1"/>
  <c r="R435" i="1" s="1"/>
  <c r="Q436" i="1"/>
  <c r="R436" i="1" s="1"/>
  <c r="Q437" i="1"/>
  <c r="R437" i="1" s="1"/>
  <c r="Q438" i="1"/>
  <c r="R438" i="1" s="1"/>
  <c r="Q439" i="1"/>
  <c r="R439" i="1" s="1"/>
  <c r="Q440" i="1"/>
  <c r="R440" i="1" s="1"/>
  <c r="Q441" i="1"/>
  <c r="R441" i="1" s="1"/>
  <c r="Q442" i="1"/>
  <c r="R442" i="1" s="1"/>
  <c r="Q443" i="1"/>
  <c r="R443" i="1" s="1"/>
  <c r="Q444" i="1"/>
  <c r="R444" i="1" s="1"/>
  <c r="Q445" i="1"/>
  <c r="R445" i="1" s="1"/>
  <c r="Q446" i="1"/>
  <c r="R446" i="1" s="1"/>
  <c r="Q447" i="1"/>
  <c r="R447" i="1" s="1"/>
  <c r="Q448" i="1"/>
  <c r="R448" i="1" s="1"/>
  <c r="Q449" i="1"/>
  <c r="R449" i="1" s="1"/>
  <c r="Q450" i="1"/>
  <c r="R450" i="1" s="1"/>
  <c r="Q451" i="1"/>
  <c r="R451" i="1" s="1"/>
  <c r="Q452" i="1"/>
  <c r="R452" i="1" s="1"/>
  <c r="Q453" i="1"/>
  <c r="R453" i="1" s="1"/>
  <c r="Q454" i="1"/>
  <c r="R454" i="1" s="1"/>
  <c r="Q455" i="1"/>
  <c r="R455" i="1" s="1"/>
  <c r="Q456" i="1"/>
  <c r="R456" i="1" s="1"/>
  <c r="Q457" i="1"/>
  <c r="R457" i="1" s="1"/>
  <c r="Q458" i="1"/>
  <c r="R458" i="1" s="1"/>
  <c r="Q459" i="1"/>
  <c r="R459" i="1" s="1"/>
  <c r="Q460" i="1"/>
  <c r="R460" i="1" s="1"/>
  <c r="Q461" i="1"/>
  <c r="R461" i="1" s="1"/>
  <c r="Q462" i="1"/>
  <c r="R462" i="1" s="1"/>
  <c r="Q463" i="1"/>
  <c r="R463" i="1" s="1"/>
  <c r="Q464" i="1"/>
  <c r="R464" i="1" s="1"/>
  <c r="Q465" i="1"/>
  <c r="R465" i="1" s="1"/>
  <c r="Q466" i="1"/>
  <c r="R466" i="1" s="1"/>
  <c r="Q467" i="1"/>
  <c r="R467" i="1" s="1"/>
  <c r="Q468" i="1"/>
  <c r="R468" i="1" s="1"/>
  <c r="Q469" i="1"/>
  <c r="R469" i="1" s="1"/>
  <c r="Q470" i="1"/>
  <c r="R470" i="1" s="1"/>
  <c r="Q471" i="1"/>
  <c r="R471" i="1" s="1"/>
  <c r="Q472" i="1"/>
  <c r="R472" i="1" s="1"/>
  <c r="Q473" i="1"/>
  <c r="R473" i="1" s="1"/>
  <c r="Q474" i="1"/>
  <c r="R474" i="1" s="1"/>
  <c r="Q475" i="1"/>
  <c r="R475" i="1" s="1"/>
  <c r="Q476" i="1"/>
  <c r="R476" i="1" s="1"/>
  <c r="Q477" i="1"/>
  <c r="R477" i="1" s="1"/>
  <c r="Q478" i="1"/>
  <c r="R478" i="1" s="1"/>
  <c r="Q479" i="1"/>
  <c r="R479" i="1" s="1"/>
  <c r="Q480" i="1"/>
  <c r="R480" i="1" s="1"/>
  <c r="Q481" i="1"/>
  <c r="R481" i="1" s="1"/>
  <c r="Q482" i="1"/>
  <c r="R482" i="1" s="1"/>
  <c r="Q484" i="1"/>
  <c r="R484" i="1" s="1"/>
  <c r="Q485" i="1"/>
  <c r="R485" i="1" s="1"/>
  <c r="Q486" i="1"/>
  <c r="R486" i="1" s="1"/>
  <c r="Q487" i="1"/>
  <c r="R487" i="1" s="1"/>
  <c r="Q488" i="1"/>
  <c r="R488" i="1" s="1"/>
  <c r="Q489" i="1"/>
  <c r="R489" i="1" s="1"/>
  <c r="Q490" i="1"/>
  <c r="R490" i="1" s="1"/>
  <c r="Q491" i="1"/>
  <c r="R491" i="1" s="1"/>
  <c r="Q492" i="1"/>
  <c r="R492" i="1" s="1"/>
  <c r="Q493" i="1"/>
  <c r="R493" i="1" s="1"/>
  <c r="Q494" i="1"/>
  <c r="R494" i="1" s="1"/>
  <c r="Q495" i="1"/>
  <c r="R495" i="1" s="1"/>
  <c r="Q496" i="1"/>
  <c r="R496" i="1" s="1"/>
  <c r="Q497" i="1"/>
  <c r="R497" i="1" s="1"/>
  <c r="Q498" i="1"/>
  <c r="R498" i="1" s="1"/>
  <c r="Q499" i="1"/>
  <c r="R499" i="1" s="1"/>
  <c r="Q500" i="1"/>
  <c r="R500" i="1" s="1"/>
  <c r="Q501" i="1"/>
  <c r="R501" i="1" s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3" i="1"/>
  <c r="C2" i="1"/>
  <c r="C4" i="1"/>
  <c r="C5" i="1"/>
</calcChain>
</file>

<file path=xl/sharedStrings.xml><?xml version="1.0" encoding="utf-8"?>
<sst xmlns="http://schemas.openxmlformats.org/spreadsheetml/2006/main" count="3679" uniqueCount="346">
  <si>
    <t>order_id</t>
  </si>
  <si>
    <t>order_date</t>
  </si>
  <si>
    <t>customer_id</t>
  </si>
  <si>
    <t>product_category</t>
  </si>
  <si>
    <t>region</t>
  </si>
  <si>
    <t>quantity</t>
  </si>
  <si>
    <t>unit_price</t>
  </si>
  <si>
    <t>discount</t>
  </si>
  <si>
    <t>payment_method</t>
  </si>
  <si>
    <t>delivery_days</t>
  </si>
  <si>
    <t>customer_rating</t>
  </si>
  <si>
    <t>revenue</t>
  </si>
  <si>
    <t>Beauty</t>
  </si>
  <si>
    <t>South</t>
  </si>
  <si>
    <t>Wallet</t>
  </si>
  <si>
    <t>Clothing</t>
  </si>
  <si>
    <t>Card</t>
  </si>
  <si>
    <t>East</t>
  </si>
  <si>
    <t>COD</t>
  </si>
  <si>
    <t>Electronics</t>
  </si>
  <si>
    <t>West</t>
  </si>
  <si>
    <t>North</t>
  </si>
  <si>
    <t>1/13/2022</t>
  </si>
  <si>
    <t>1/14/2022</t>
  </si>
  <si>
    <t>1/15/2022</t>
  </si>
  <si>
    <t>1/16/2022</t>
  </si>
  <si>
    <t>1/17/2022</t>
  </si>
  <si>
    <t>1/18/2022</t>
  </si>
  <si>
    <t>1/19/2022</t>
  </si>
  <si>
    <t>Home</t>
  </si>
  <si>
    <t>1/20/2022</t>
  </si>
  <si>
    <t>1/21/2022</t>
  </si>
  <si>
    <t>1/22/2022</t>
  </si>
  <si>
    <t>1/23/2022</t>
  </si>
  <si>
    <t>1/24/2022</t>
  </si>
  <si>
    <t>1/25/2022</t>
  </si>
  <si>
    <t>1/26/2022</t>
  </si>
  <si>
    <t>1/27/2022</t>
  </si>
  <si>
    <t>1/28/2022</t>
  </si>
  <si>
    <t>1/29/2022</t>
  </si>
  <si>
    <t>1/30/2022</t>
  </si>
  <si>
    <t>1/31/2022</t>
  </si>
  <si>
    <t>2/13/2022</t>
  </si>
  <si>
    <t>2/14/2022</t>
  </si>
  <si>
    <t>2/15/2022</t>
  </si>
  <si>
    <t>2/16/2022</t>
  </si>
  <si>
    <t>2/17/2022</t>
  </si>
  <si>
    <t>2/18/2022</t>
  </si>
  <si>
    <t>2/19/2022</t>
  </si>
  <si>
    <t>2/20/2022</t>
  </si>
  <si>
    <t>2/21/2022</t>
  </si>
  <si>
    <t>2/22/2022</t>
  </si>
  <si>
    <t>2/23/2022</t>
  </si>
  <si>
    <t>2/24/2022</t>
  </si>
  <si>
    <t>2/25/2022</t>
  </si>
  <si>
    <t>2/26/2022</t>
  </si>
  <si>
    <t>2/27/2022</t>
  </si>
  <si>
    <t>2/28/2022</t>
  </si>
  <si>
    <t>3/13/2022</t>
  </si>
  <si>
    <t>3/14/2022</t>
  </si>
  <si>
    <t>3/15/2022</t>
  </si>
  <si>
    <t>3/16/2022</t>
  </si>
  <si>
    <t>3/17/2022</t>
  </si>
  <si>
    <t>3/18/2022</t>
  </si>
  <si>
    <t>3/19/2022</t>
  </si>
  <si>
    <t>3/20/2022</t>
  </si>
  <si>
    <t>3/21/2022</t>
  </si>
  <si>
    <t>3/22/2022</t>
  </si>
  <si>
    <t>3/23/2022</t>
  </si>
  <si>
    <t>3/24/2022</t>
  </si>
  <si>
    <t>3/25/2022</t>
  </si>
  <si>
    <t>3/26/2022</t>
  </si>
  <si>
    <t>3/27/2022</t>
  </si>
  <si>
    <t>3/28/2022</t>
  </si>
  <si>
    <t>3/29/2022</t>
  </si>
  <si>
    <t>3/30/2022</t>
  </si>
  <si>
    <t>3/31/2022</t>
  </si>
  <si>
    <t>4/13/2022</t>
  </si>
  <si>
    <t>4/14/2022</t>
  </si>
  <si>
    <t>4/15/2022</t>
  </si>
  <si>
    <t>4/16/2022</t>
  </si>
  <si>
    <t>4/17/2022</t>
  </si>
  <si>
    <t>4/18/2022</t>
  </si>
  <si>
    <t>4/19/2022</t>
  </si>
  <si>
    <t>4/20/2022</t>
  </si>
  <si>
    <t>4/21/2022</t>
  </si>
  <si>
    <t>4/22/2022</t>
  </si>
  <si>
    <t>4/23/2022</t>
  </si>
  <si>
    <t>4/24/2022</t>
  </si>
  <si>
    <t>4/25/2022</t>
  </si>
  <si>
    <t>4/26/2022</t>
  </si>
  <si>
    <t>4/27/2022</t>
  </si>
  <si>
    <t>4/28/2022</t>
  </si>
  <si>
    <t>4/29/2022</t>
  </si>
  <si>
    <t>4/30/2022</t>
  </si>
  <si>
    <t>5/13/2022</t>
  </si>
  <si>
    <t>5/14/2022</t>
  </si>
  <si>
    <t>5/15/2022</t>
  </si>
  <si>
    <t>5/16/2022</t>
  </si>
  <si>
    <t>5/17/2022</t>
  </si>
  <si>
    <t>5/18/2022</t>
  </si>
  <si>
    <t>5/19/2022</t>
  </si>
  <si>
    <t>5/20/2022</t>
  </si>
  <si>
    <t>5/21/2022</t>
  </si>
  <si>
    <t>5/22/2022</t>
  </si>
  <si>
    <t>5/23/2022</t>
  </si>
  <si>
    <t>5/24/2022</t>
  </si>
  <si>
    <t>5/25/2022</t>
  </si>
  <si>
    <t>5/26/2022</t>
  </si>
  <si>
    <t>5/27/2022</t>
  </si>
  <si>
    <t>5/28/2022</t>
  </si>
  <si>
    <t>5/29/2022</t>
  </si>
  <si>
    <t>5/30/2022</t>
  </si>
  <si>
    <t>5/31/2022</t>
  </si>
  <si>
    <t>6/13/2022</t>
  </si>
  <si>
    <t>6/14/2022</t>
  </si>
  <si>
    <t>6/15/2022</t>
  </si>
  <si>
    <t>6/16/2022</t>
  </si>
  <si>
    <t>6/17/2022</t>
  </si>
  <si>
    <t>6/18/2022</t>
  </si>
  <si>
    <t>6/19/2022</t>
  </si>
  <si>
    <t>6/20/2022</t>
  </si>
  <si>
    <t>6/21/2022</t>
  </si>
  <si>
    <t>6/22/2022</t>
  </si>
  <si>
    <t>6/23/2022</t>
  </si>
  <si>
    <t>6/24/2022</t>
  </si>
  <si>
    <t>6/25/2022</t>
  </si>
  <si>
    <t>6/26/2022</t>
  </si>
  <si>
    <t>6/27/2022</t>
  </si>
  <si>
    <t>6/28/2022</t>
  </si>
  <si>
    <t>6/29/2022</t>
  </si>
  <si>
    <t>6/30/2022</t>
  </si>
  <si>
    <t>7/13/2022</t>
  </si>
  <si>
    <t>7/14/2022</t>
  </si>
  <si>
    <t>7/15/2022</t>
  </si>
  <si>
    <t>7/16/2022</t>
  </si>
  <si>
    <t>7/17/2022</t>
  </si>
  <si>
    <t>7/18/2022</t>
  </si>
  <si>
    <t>7/19/2022</t>
  </si>
  <si>
    <t>7/20/2022</t>
  </si>
  <si>
    <t>7/21/2022</t>
  </si>
  <si>
    <t>7/22/2022</t>
  </si>
  <si>
    <t>7/23/2022</t>
  </si>
  <si>
    <t>7/24/2022</t>
  </si>
  <si>
    <t>7/25/2022</t>
  </si>
  <si>
    <t>7/26/2022</t>
  </si>
  <si>
    <t>7/27/2022</t>
  </si>
  <si>
    <t>7/28/2022</t>
  </si>
  <si>
    <t>7/29/2022</t>
  </si>
  <si>
    <t>7/30/2022</t>
  </si>
  <si>
    <t>7/31/2022</t>
  </si>
  <si>
    <t>8/13/2022</t>
  </si>
  <si>
    <t>8/14/2022</t>
  </si>
  <si>
    <t>8/15/2022</t>
  </si>
  <si>
    <t>8/16/2022</t>
  </si>
  <si>
    <t>8/17/2022</t>
  </si>
  <si>
    <t>8/18/2022</t>
  </si>
  <si>
    <t>8/19/2022</t>
  </si>
  <si>
    <t>8/20/2022</t>
  </si>
  <si>
    <t>8/21/2022</t>
  </si>
  <si>
    <t>8/22/2022</t>
  </si>
  <si>
    <t>8/23/2022</t>
  </si>
  <si>
    <t>8/24/2022</t>
  </si>
  <si>
    <t>8/25/2022</t>
  </si>
  <si>
    <t>8/26/2022</t>
  </si>
  <si>
    <t>8/27/2022</t>
  </si>
  <si>
    <t>8/28/2022</t>
  </si>
  <si>
    <t>8/29/2022</t>
  </si>
  <si>
    <t>8/30/2022</t>
  </si>
  <si>
    <t>8/31/2022</t>
  </si>
  <si>
    <t>9/13/2022</t>
  </si>
  <si>
    <t>9/14/2022</t>
  </si>
  <si>
    <t>9/15/2022</t>
  </si>
  <si>
    <t>9/16/2022</t>
  </si>
  <si>
    <t>9/17/2022</t>
  </si>
  <si>
    <t>9/18/2022</t>
  </si>
  <si>
    <t>9/19/2022</t>
  </si>
  <si>
    <t>9/20/2022</t>
  </si>
  <si>
    <t>9/21/2022</t>
  </si>
  <si>
    <t>9/22/2022</t>
  </si>
  <si>
    <t>9/23/2022</t>
  </si>
  <si>
    <t>9/24/2022</t>
  </si>
  <si>
    <t>9/25/2022</t>
  </si>
  <si>
    <t>9/26/2022</t>
  </si>
  <si>
    <t>9/27/2022</t>
  </si>
  <si>
    <t>9/28/2022</t>
  </si>
  <si>
    <t>9/29/2022</t>
  </si>
  <si>
    <t>9/30/2022</t>
  </si>
  <si>
    <t>10/13/2022</t>
  </si>
  <si>
    <t>10/14/2022</t>
  </si>
  <si>
    <t>10/15/2022</t>
  </si>
  <si>
    <t>10/16/2022</t>
  </si>
  <si>
    <t>10/17/2022</t>
  </si>
  <si>
    <t>10/18/2022</t>
  </si>
  <si>
    <t>10/19/2022</t>
  </si>
  <si>
    <t>10/20/2022</t>
  </si>
  <si>
    <t>10/21/2022</t>
  </si>
  <si>
    <t>10/22/2022</t>
  </si>
  <si>
    <t>10/23/2022</t>
  </si>
  <si>
    <t>10/24/2022</t>
  </si>
  <si>
    <t>10/25/2022</t>
  </si>
  <si>
    <t>10/26/2022</t>
  </si>
  <si>
    <t>10/27/2022</t>
  </si>
  <si>
    <t>10/28/2022</t>
  </si>
  <si>
    <t>10/29/2022</t>
  </si>
  <si>
    <t>10/30/2022</t>
  </si>
  <si>
    <t>10/31/2022</t>
  </si>
  <si>
    <t>11/13/2022</t>
  </si>
  <si>
    <t>11/14/2022</t>
  </si>
  <si>
    <t>11/15/2022</t>
  </si>
  <si>
    <t>11/16/2022</t>
  </si>
  <si>
    <t>11/17/2022</t>
  </si>
  <si>
    <t>11/18/2022</t>
  </si>
  <si>
    <t>11/19/2022</t>
  </si>
  <si>
    <t>11/20/2022</t>
  </si>
  <si>
    <t>11/21/2022</t>
  </si>
  <si>
    <t>11/22/2022</t>
  </si>
  <si>
    <t>11/23/2022</t>
  </si>
  <si>
    <t>11/24/2022</t>
  </si>
  <si>
    <t>11/25/2022</t>
  </si>
  <si>
    <t>11/26/2022</t>
  </si>
  <si>
    <t>11/27/2022</t>
  </si>
  <si>
    <t>11/28/2022</t>
  </si>
  <si>
    <t>11/29/2022</t>
  </si>
  <si>
    <t>11/30/2022</t>
  </si>
  <si>
    <t>12/13/2022</t>
  </si>
  <si>
    <t>12/14/2022</t>
  </si>
  <si>
    <t>12/15/2022</t>
  </si>
  <si>
    <t>12/16/2022</t>
  </si>
  <si>
    <t>12/17/2022</t>
  </si>
  <si>
    <t>12/18/2022</t>
  </si>
  <si>
    <t>12/19/2022</t>
  </si>
  <si>
    <t>12/20/2022</t>
  </si>
  <si>
    <t>12/21/2022</t>
  </si>
  <si>
    <t>12/22/2022</t>
  </si>
  <si>
    <t>12/23/2022</t>
  </si>
  <si>
    <t>12/24/2022</t>
  </si>
  <si>
    <t>12/25/2022</t>
  </si>
  <si>
    <t>12/26/2022</t>
  </si>
  <si>
    <t>12/27/2022</t>
  </si>
  <si>
    <t>12/28/2022</t>
  </si>
  <si>
    <t>12/29/2022</t>
  </si>
  <si>
    <t>12/30/2022</t>
  </si>
  <si>
    <t>12/31/2022</t>
  </si>
  <si>
    <t>1/13/2023</t>
  </si>
  <si>
    <t>1/14/2023</t>
  </si>
  <si>
    <t>1/15/2023</t>
  </si>
  <si>
    <t>1/16/2023</t>
  </si>
  <si>
    <t>1/17/2023</t>
  </si>
  <si>
    <t>1/18/2023</t>
  </si>
  <si>
    <t>1/19/2023</t>
  </si>
  <si>
    <t>1/20/2023</t>
  </si>
  <si>
    <t>1/21/2023</t>
  </si>
  <si>
    <t>1/22/2023</t>
  </si>
  <si>
    <t>1/23/2023</t>
  </si>
  <si>
    <t>1/24/2023</t>
  </si>
  <si>
    <t>1/25/2023</t>
  </si>
  <si>
    <t>1/26/2023</t>
  </si>
  <si>
    <t>1/27/2023</t>
  </si>
  <si>
    <t>1/28/2023</t>
  </si>
  <si>
    <t>1/29/2023</t>
  </si>
  <si>
    <t>1/30/2023</t>
  </si>
  <si>
    <t>1/31/2023</t>
  </si>
  <si>
    <t>2/13/2023</t>
  </si>
  <si>
    <t>2/14/2023</t>
  </si>
  <si>
    <t>2/15/2023</t>
  </si>
  <si>
    <t>2/16/2023</t>
  </si>
  <si>
    <t>2/17/2023</t>
  </si>
  <si>
    <t>2/18/2023</t>
  </si>
  <si>
    <t>2/19/2023</t>
  </si>
  <si>
    <t>2/20/2023</t>
  </si>
  <si>
    <t>2/21/2023</t>
  </si>
  <si>
    <t>2/22/2023</t>
  </si>
  <si>
    <t>2/23/2023</t>
  </si>
  <si>
    <t>2/24/2023</t>
  </si>
  <si>
    <t>2/25/2023</t>
  </si>
  <si>
    <t>2/26/2023</t>
  </si>
  <si>
    <t>2/27/2023</t>
  </si>
  <si>
    <t>2/28/2023</t>
  </si>
  <si>
    <t>3/13/2023</t>
  </si>
  <si>
    <t>3/14/2023</t>
  </si>
  <si>
    <t>3/15/2023</t>
  </si>
  <si>
    <t>3/16/2023</t>
  </si>
  <si>
    <t>3/17/2023</t>
  </si>
  <si>
    <t>3/18/2023</t>
  </si>
  <si>
    <t>3/19/2023</t>
  </si>
  <si>
    <t>3/20/2023</t>
  </si>
  <si>
    <t>3/21/2023</t>
  </si>
  <si>
    <t>3/22/2023</t>
  </si>
  <si>
    <t>3/23/2023</t>
  </si>
  <si>
    <t>3/24/2023</t>
  </si>
  <si>
    <t>3/25/2023</t>
  </si>
  <si>
    <t>3/26/2023</t>
  </si>
  <si>
    <t>3/27/2023</t>
  </si>
  <si>
    <t>3/28/2023</t>
  </si>
  <si>
    <t>3/29/2023</t>
  </si>
  <si>
    <t>3/30/2023</t>
  </si>
  <si>
    <t>3/31/2023</t>
  </si>
  <si>
    <t>4/13/2023</t>
  </si>
  <si>
    <t>4/14/2023</t>
  </si>
  <si>
    <t>4/15/2023</t>
  </si>
  <si>
    <t>4/16/2023</t>
  </si>
  <si>
    <t>4/17/2023</t>
  </si>
  <si>
    <t>4/18/2023</t>
  </si>
  <si>
    <t>4/19/2023</t>
  </si>
  <si>
    <t>4/20/2023</t>
  </si>
  <si>
    <t>4/21/2023</t>
  </si>
  <si>
    <t>4/22/2023</t>
  </si>
  <si>
    <t>4/23/2023</t>
  </si>
  <si>
    <t>4/24/2023</t>
  </si>
  <si>
    <t>4/25/2023</t>
  </si>
  <si>
    <t>4/26/2023</t>
  </si>
  <si>
    <t>4/27/2023</t>
  </si>
  <si>
    <t>4/28/2023</t>
  </si>
  <si>
    <t>4/29/2023</t>
  </si>
  <si>
    <t>4/30/2023</t>
  </si>
  <si>
    <t>5/13/2023</t>
  </si>
  <si>
    <t>5/14/2023</t>
  </si>
  <si>
    <t>5/15/2023</t>
  </si>
  <si>
    <t>order _date_clean</t>
  </si>
  <si>
    <t>unknown</t>
  </si>
  <si>
    <t>revenue check</t>
  </si>
  <si>
    <t>revenue diff</t>
  </si>
  <si>
    <t>product category clean</t>
  </si>
  <si>
    <t>region clean</t>
  </si>
  <si>
    <t>payment method clean</t>
  </si>
  <si>
    <t>total revenue</t>
  </si>
  <si>
    <t>ORDER ID APPEAR ONCE</t>
  </si>
  <si>
    <t>revenue difference</t>
  </si>
  <si>
    <t>Row Labels</t>
  </si>
  <si>
    <t>Grand Total</t>
  </si>
  <si>
    <t>Sum of revenue check</t>
  </si>
  <si>
    <t>pivot table 1: revenue by category</t>
  </si>
  <si>
    <t>Sum of revenue</t>
  </si>
  <si>
    <t>pivot table 2:revenue by region</t>
  </si>
  <si>
    <t>2022</t>
  </si>
  <si>
    <t>2023</t>
  </si>
  <si>
    <t>pivot table 3:monthly trend</t>
  </si>
  <si>
    <t>Cod</t>
  </si>
  <si>
    <t>Sum of order_id</t>
  </si>
  <si>
    <t>Column Labels</t>
  </si>
  <si>
    <t>Average of delivery_days</t>
  </si>
  <si>
    <t>Average of customer_rating</t>
  </si>
  <si>
    <t>pivot table 4:payment method</t>
  </si>
  <si>
    <t>pivot table 5: category by region matrix</t>
  </si>
  <si>
    <t>pivot table 6: operations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</si>
</sst>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499984740745262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4">
    <xf numFmtId="0" fontId="0" fillId="0" borderId="0" xfId="0"/>
    <xf numFmtId="14" fontId="0" fillId="0" borderId="0" xfId="0" applyNumberFormat="1"/>
    <xf numFmtId="0" fontId="16" fillId="0" borderId="0" xfId="0" applyFont="1" applyAlignment="1">
      <alignment horizontal="right"/>
    </xf>
    <xf numFmtId="0" fontId="0" fillId="33" borderId="0" xfId="0" applyFill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15" xfId="0" pivotButton="1" applyBorder="1"/>
    <xf numFmtId="0" fontId="0" fillId="0" borderId="15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9" xfId="0" applyBorder="1"/>
    <xf numFmtId="0" fontId="0" fillId="0" borderId="14" xfId="0" pivotButton="1" applyBorder="1"/>
    <xf numFmtId="0" fontId="0" fillId="0" borderId="17" xfId="0" applyBorder="1" applyAlignment="1">
      <alignment horizontal="left"/>
    </xf>
    <xf numFmtId="0" fontId="0" fillId="0" borderId="19" xfId="0" applyBorder="1" applyAlignment="1">
      <alignment horizontal="left"/>
    </xf>
    <xf numFmtId="0" fontId="0" fillId="0" borderId="18" xfId="0" applyBorder="1" applyAlignment="1">
      <alignment horizontal="left"/>
    </xf>
    <xf numFmtId="0" fontId="0" fillId="0" borderId="14" xfId="0" applyBorder="1" applyAlignment="1">
      <alignment horizontal="left"/>
    </xf>
    <xf numFmtId="0" fontId="0" fillId="0" borderId="14" xfId="0" applyBorder="1"/>
    <xf numFmtId="0" fontId="0" fillId="0" borderId="20" xfId="0" applyBorder="1"/>
    <xf numFmtId="0" fontId="0" fillId="0" borderId="21" xfId="0" pivotButton="1" applyBorder="1"/>
    <xf numFmtId="0" fontId="0" fillId="0" borderId="20" xfId="0" applyBorder="1" applyAlignment="1">
      <alignment horizontal="left"/>
    </xf>
    <xf numFmtId="0" fontId="0" fillId="0" borderId="21" xfId="0" applyBorder="1" applyAlignment="1">
      <alignment horizontal="left"/>
    </xf>
    <xf numFmtId="0" fontId="0" fillId="0" borderId="21" xfId="0" applyBorder="1"/>
    <xf numFmtId="0" fontId="0" fillId="33" borderId="11" xfId="0" applyFill="1" applyBorder="1"/>
    <xf numFmtId="0" fontId="18" fillId="33" borderId="10" xfId="0" applyFont="1" applyFill="1" applyBorder="1" applyAlignment="1">
      <alignment horizontal="left"/>
    </xf>
    <xf numFmtId="0" fontId="19" fillId="33" borderId="11" xfId="0" applyFont="1" applyFill="1" applyBorder="1"/>
    <xf numFmtId="0" fontId="18" fillId="33" borderId="10" xfId="0" applyFont="1" applyFill="1" applyBorder="1"/>
    <xf numFmtId="0" fontId="0" fillId="0" borderId="23" xfId="0" applyBorder="1"/>
    <xf numFmtId="0" fontId="0" fillId="0" borderId="22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18" fillId="33" borderId="17" xfId="0" applyFont="1" applyFill="1" applyBorder="1"/>
    <xf numFmtId="0" fontId="18" fillId="33" borderId="11" xfId="0" applyFont="1" applyFill="1" applyBorder="1"/>
    <xf numFmtId="2" fontId="0" fillId="0" borderId="0" xfId="0" applyNumberFormat="1"/>
    <xf numFmtId="2" fontId="0" fillId="0" borderId="16" xfId="0" applyNumberFormat="1" applyBorder="1"/>
    <xf numFmtId="2" fontId="0" fillId="0" borderId="23" xfId="0" applyNumberFormat="1" applyBorder="1"/>
    <xf numFmtId="2" fontId="0" fillId="0" borderId="13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73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fill>
        <patternFill patternType="none">
          <fgColor indexed="64"/>
          <bgColor indexed="65"/>
        </patternFill>
      </fill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numFmt numFmtId="0" formatCode="General"/>
    </dxf>
    <dxf>
      <numFmt numFmtId="19" formatCode="dd/mm/yyyy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hok" refreshedDate="46295.900295601852" createdVersion="8" refreshedVersion="8" minRefreshableVersion="3" recordCount="500" xr:uid="{CD741053-1D32-42D2-890B-E52EA1A66FFA}">
  <cacheSource type="worksheet">
    <worksheetSource name="ecommerce_sales"/>
  </cacheSource>
  <cacheFields count="20">
    <cacheField name="order_id" numFmtId="0">
      <sharedItems containsSemiMixedTypes="0" containsString="0" containsNumber="1" containsInteger="1" minValue="10001" maxValue="10500" count="500">
        <n v="10001"/>
        <n v="10002"/>
        <n v="10003"/>
        <n v="10004"/>
        <n v="10005"/>
        <n v="10006"/>
        <n v="10007"/>
        <n v="10008"/>
        <n v="10009"/>
        <n v="10010"/>
        <n v="10011"/>
        <n v="10012"/>
        <n v="10013"/>
        <n v="10014"/>
        <n v="10015"/>
        <n v="10016"/>
        <n v="10017"/>
        <n v="10018"/>
        <n v="10019"/>
        <n v="10020"/>
        <n v="10021"/>
        <n v="10022"/>
        <n v="10023"/>
        <n v="10024"/>
        <n v="10025"/>
        <n v="10026"/>
        <n v="10027"/>
        <n v="10028"/>
        <n v="10029"/>
        <n v="10030"/>
        <n v="10031"/>
        <n v="10032"/>
        <n v="10033"/>
        <n v="10034"/>
        <n v="10035"/>
        <n v="10036"/>
        <n v="10037"/>
        <n v="10038"/>
        <n v="10039"/>
        <n v="10040"/>
        <n v="10041"/>
        <n v="10042"/>
        <n v="10043"/>
        <n v="10044"/>
        <n v="10045"/>
        <n v="10046"/>
        <n v="10047"/>
        <n v="10048"/>
        <n v="10049"/>
        <n v="10050"/>
        <n v="10051"/>
        <n v="10052"/>
        <n v="10053"/>
        <n v="10054"/>
        <n v="10055"/>
        <n v="10056"/>
        <n v="10057"/>
        <n v="10058"/>
        <n v="10059"/>
        <n v="10060"/>
        <n v="10061"/>
        <n v="10062"/>
        <n v="10063"/>
        <n v="10064"/>
        <n v="10065"/>
        <n v="10066"/>
        <n v="10067"/>
        <n v="10068"/>
        <n v="10069"/>
        <n v="10070"/>
        <n v="10071"/>
        <n v="10072"/>
        <n v="10073"/>
        <n v="10074"/>
        <n v="10075"/>
        <n v="10076"/>
        <n v="10077"/>
        <n v="10078"/>
        <n v="10079"/>
        <n v="10080"/>
        <n v="10081"/>
        <n v="10082"/>
        <n v="10083"/>
        <n v="10084"/>
        <n v="10085"/>
        <n v="10086"/>
        <n v="10087"/>
        <n v="10088"/>
        <n v="10089"/>
        <n v="10090"/>
        <n v="10091"/>
        <n v="10092"/>
        <n v="10093"/>
        <n v="10094"/>
        <n v="10095"/>
        <n v="10096"/>
        <n v="10097"/>
        <n v="10098"/>
        <n v="10099"/>
        <n v="10100"/>
        <n v="10101"/>
        <n v="10102"/>
        <n v="10103"/>
        <n v="10104"/>
        <n v="10105"/>
        <n v="10106"/>
        <n v="10107"/>
        <n v="10108"/>
        <n v="10109"/>
        <n v="10110"/>
        <n v="10111"/>
        <n v="10112"/>
        <n v="10113"/>
        <n v="10114"/>
        <n v="10115"/>
        <n v="10116"/>
        <n v="10117"/>
        <n v="10118"/>
        <n v="10119"/>
        <n v="10120"/>
        <n v="10121"/>
        <n v="10122"/>
        <n v="10123"/>
        <n v="10124"/>
        <n v="10125"/>
        <n v="10126"/>
        <n v="10127"/>
        <n v="10128"/>
        <n v="10129"/>
        <n v="10130"/>
        <n v="10131"/>
        <n v="10132"/>
        <n v="10133"/>
        <n v="10134"/>
        <n v="10135"/>
        <n v="10136"/>
        <n v="10137"/>
        <n v="10138"/>
        <n v="10139"/>
        <n v="10140"/>
        <n v="10141"/>
        <n v="10142"/>
        <n v="10143"/>
        <n v="10144"/>
        <n v="10145"/>
        <n v="10146"/>
        <n v="10147"/>
        <n v="10148"/>
        <n v="10149"/>
        <n v="10150"/>
        <n v="10151"/>
        <n v="10152"/>
        <n v="10153"/>
        <n v="10154"/>
        <n v="10155"/>
        <n v="10156"/>
        <n v="10157"/>
        <n v="10158"/>
        <n v="10159"/>
        <n v="10160"/>
        <n v="10161"/>
        <n v="10162"/>
        <n v="10163"/>
        <n v="10164"/>
        <n v="10165"/>
        <n v="10166"/>
        <n v="10167"/>
        <n v="10168"/>
        <n v="10169"/>
        <n v="10170"/>
        <n v="10171"/>
        <n v="10172"/>
        <n v="10173"/>
        <n v="10174"/>
        <n v="10175"/>
        <n v="10176"/>
        <n v="10177"/>
        <n v="10178"/>
        <n v="10179"/>
        <n v="10180"/>
        <n v="10181"/>
        <n v="10182"/>
        <n v="10183"/>
        <n v="10184"/>
        <n v="10185"/>
        <n v="10186"/>
        <n v="10187"/>
        <n v="10188"/>
        <n v="10189"/>
        <n v="10190"/>
        <n v="10191"/>
        <n v="10192"/>
        <n v="10193"/>
        <n v="10194"/>
        <n v="10195"/>
        <n v="10196"/>
        <n v="10197"/>
        <n v="10198"/>
        <n v="10199"/>
        <n v="10200"/>
        <n v="10201"/>
        <n v="10202"/>
        <n v="10203"/>
        <n v="10204"/>
        <n v="10205"/>
        <n v="10206"/>
        <n v="10207"/>
        <n v="10208"/>
        <n v="10209"/>
        <n v="10210"/>
        <n v="10211"/>
        <n v="10212"/>
        <n v="10213"/>
        <n v="10214"/>
        <n v="10215"/>
        <n v="10216"/>
        <n v="10217"/>
        <n v="10218"/>
        <n v="10219"/>
        <n v="10220"/>
        <n v="10221"/>
        <n v="10222"/>
        <n v="10223"/>
        <n v="10224"/>
        <n v="10225"/>
        <n v="10226"/>
        <n v="10227"/>
        <n v="10228"/>
        <n v="10229"/>
        <n v="10230"/>
        <n v="10231"/>
        <n v="10232"/>
        <n v="10233"/>
        <n v="10234"/>
        <n v="10235"/>
        <n v="10236"/>
        <n v="10237"/>
        <n v="10238"/>
        <n v="10239"/>
        <n v="10240"/>
        <n v="10241"/>
        <n v="10242"/>
        <n v="10243"/>
        <n v="10244"/>
        <n v="10245"/>
        <n v="10246"/>
        <n v="10247"/>
        <n v="10248"/>
        <n v="10249"/>
        <n v="10250"/>
        <n v="10251"/>
        <n v="10252"/>
        <n v="10253"/>
        <n v="10254"/>
        <n v="10255"/>
        <n v="10256"/>
        <n v="10257"/>
        <n v="10258"/>
        <n v="10259"/>
        <n v="10260"/>
        <n v="10261"/>
        <n v="10262"/>
        <n v="10263"/>
        <n v="10264"/>
        <n v="10265"/>
        <n v="10266"/>
        <n v="10267"/>
        <n v="10268"/>
        <n v="10269"/>
        <n v="10270"/>
        <n v="10271"/>
        <n v="10272"/>
        <n v="10273"/>
        <n v="10274"/>
        <n v="10275"/>
        <n v="10276"/>
        <n v="10277"/>
        <n v="10278"/>
        <n v="10279"/>
        <n v="10280"/>
        <n v="10281"/>
        <n v="10282"/>
        <n v="10283"/>
        <n v="10284"/>
        <n v="10285"/>
        <n v="10286"/>
        <n v="10287"/>
        <n v="10288"/>
        <n v="10289"/>
        <n v="10290"/>
        <n v="10291"/>
        <n v="10292"/>
        <n v="10293"/>
        <n v="10294"/>
        <n v="10295"/>
        <n v="10296"/>
        <n v="10297"/>
        <n v="10298"/>
        <n v="10299"/>
        <n v="10300"/>
        <n v="10301"/>
        <n v="10302"/>
        <n v="10303"/>
        <n v="10304"/>
        <n v="10305"/>
        <n v="10306"/>
        <n v="10307"/>
        <n v="10308"/>
        <n v="10309"/>
        <n v="10310"/>
        <n v="10311"/>
        <n v="10312"/>
        <n v="10313"/>
        <n v="10314"/>
        <n v="10315"/>
        <n v="10316"/>
        <n v="10317"/>
        <n v="10318"/>
        <n v="10319"/>
        <n v="10320"/>
        <n v="10321"/>
        <n v="10322"/>
        <n v="10323"/>
        <n v="10324"/>
        <n v="10325"/>
        <n v="10326"/>
        <n v="10327"/>
        <n v="10328"/>
        <n v="10329"/>
        <n v="10330"/>
        <n v="10331"/>
        <n v="10332"/>
        <n v="10333"/>
        <n v="10334"/>
        <n v="10335"/>
        <n v="10336"/>
        <n v="10337"/>
        <n v="10338"/>
        <n v="10339"/>
        <n v="10340"/>
        <n v="10341"/>
        <n v="10342"/>
        <n v="10343"/>
        <n v="10344"/>
        <n v="10345"/>
        <n v="10346"/>
        <n v="10347"/>
        <n v="10348"/>
        <n v="10349"/>
        <n v="10350"/>
        <n v="10351"/>
        <n v="10352"/>
        <n v="10353"/>
        <n v="10354"/>
        <n v="10355"/>
        <n v="10356"/>
        <n v="10357"/>
        <n v="10358"/>
        <n v="10359"/>
        <n v="10360"/>
        <n v="10361"/>
        <n v="10362"/>
        <n v="10363"/>
        <n v="10364"/>
        <n v="10365"/>
        <n v="10366"/>
        <n v="10367"/>
        <n v="10368"/>
        <n v="10369"/>
        <n v="10370"/>
        <n v="10371"/>
        <n v="10372"/>
        <n v="10373"/>
        <n v="10374"/>
        <n v="10375"/>
        <n v="10376"/>
        <n v="10377"/>
        <n v="10378"/>
        <n v="10379"/>
        <n v="10380"/>
        <n v="10381"/>
        <n v="10382"/>
        <n v="10383"/>
        <n v="10384"/>
        <n v="10385"/>
        <n v="10386"/>
        <n v="10387"/>
        <n v="10388"/>
        <n v="10389"/>
        <n v="10390"/>
        <n v="10391"/>
        <n v="10392"/>
        <n v="10393"/>
        <n v="10394"/>
        <n v="10395"/>
        <n v="10396"/>
        <n v="10397"/>
        <n v="10398"/>
        <n v="10399"/>
        <n v="10400"/>
        <n v="10401"/>
        <n v="10402"/>
        <n v="10403"/>
        <n v="10404"/>
        <n v="10405"/>
        <n v="10406"/>
        <n v="10407"/>
        <n v="10408"/>
        <n v="10409"/>
        <n v="10410"/>
        <n v="10411"/>
        <n v="10412"/>
        <n v="10413"/>
        <n v="10414"/>
        <n v="10415"/>
        <n v="10416"/>
        <n v="10417"/>
        <n v="10418"/>
        <n v="10419"/>
        <n v="10420"/>
        <n v="10421"/>
        <n v="10422"/>
        <n v="10423"/>
        <n v="10424"/>
        <n v="10425"/>
        <n v="10426"/>
        <n v="10427"/>
        <n v="10428"/>
        <n v="10429"/>
        <n v="10430"/>
        <n v="10431"/>
        <n v="10432"/>
        <n v="10433"/>
        <n v="10434"/>
        <n v="10435"/>
        <n v="10436"/>
        <n v="10437"/>
        <n v="10438"/>
        <n v="10439"/>
        <n v="10440"/>
        <n v="10441"/>
        <n v="10442"/>
        <n v="10443"/>
        <n v="10444"/>
        <n v="10445"/>
        <n v="10446"/>
        <n v="10447"/>
        <n v="10448"/>
        <n v="10449"/>
        <n v="10450"/>
        <n v="10451"/>
        <n v="10452"/>
        <n v="10453"/>
        <n v="10454"/>
        <n v="10455"/>
        <n v="10456"/>
        <n v="10457"/>
        <n v="10458"/>
        <n v="10459"/>
        <n v="10460"/>
        <n v="10461"/>
        <n v="10462"/>
        <n v="10463"/>
        <n v="10464"/>
        <n v="10465"/>
        <n v="10466"/>
        <n v="10467"/>
        <n v="10468"/>
        <n v="10469"/>
        <n v="10470"/>
        <n v="10471"/>
        <n v="10472"/>
        <n v="10473"/>
        <n v="10474"/>
        <n v="10475"/>
        <n v="10476"/>
        <n v="10477"/>
        <n v="10478"/>
        <n v="10479"/>
        <n v="10480"/>
        <n v="10481"/>
        <n v="10482"/>
        <n v="10483"/>
        <n v="10484"/>
        <n v="10485"/>
        <n v="10486"/>
        <n v="10487"/>
        <n v="10488"/>
        <n v="10489"/>
        <n v="10490"/>
        <n v="10491"/>
        <n v="10492"/>
        <n v="10493"/>
        <n v="10494"/>
        <n v="10495"/>
        <n v="10496"/>
        <n v="10497"/>
        <n v="10498"/>
        <n v="10499"/>
        <n v="10500"/>
      </sharedItems>
    </cacheField>
    <cacheField name="order_date" numFmtId="0">
      <sharedItems containsDate="1" containsMixedTypes="1" minDate="2022-01-01T00:00:00" maxDate="2023-12-06T00:00:00"/>
    </cacheField>
    <cacheField name="order _date_clean" numFmtId="14">
      <sharedItems containsSemiMixedTypes="0" containsNonDate="0" containsDate="1" containsString="0" minDate="2022-01-01T00:00:00" maxDate="2023-05-16T00:00:00" count="500">
        <d v="2022-01-01T00:00:00"/>
        <d v="2022-01-02T00:00:00"/>
        <d v="2022-01-03T00:00:00"/>
        <d v="2022-01-04T00:00:00"/>
        <d v="2022-01-05T00:00:00"/>
        <d v="2022-01-06T00:00:00"/>
        <d v="2022-01-07T00:00:00"/>
        <d v="2022-01-08T00:00:00"/>
        <d v="2022-01-09T00:00:00"/>
        <d v="2022-01-10T00:00:00"/>
        <d v="2022-01-11T00:00:00"/>
        <d v="2022-01-12T00:00:00"/>
        <d v="2022-01-13T00:00:00"/>
        <d v="2022-01-14T00:00:00"/>
        <d v="2022-01-15T00:00:00"/>
        <d v="2022-01-16T00:00:00"/>
        <d v="2022-01-17T00:00:00"/>
        <d v="2022-01-18T00:00:00"/>
        <d v="2022-01-19T00:00:00"/>
        <d v="2022-01-20T00:00:00"/>
        <d v="2022-01-21T00:00:00"/>
        <d v="2022-01-22T00:00:00"/>
        <d v="2022-01-23T00:00:00"/>
        <d v="2022-01-24T00:00:00"/>
        <d v="2022-01-25T00:00:00"/>
        <d v="2022-01-26T00:00:00"/>
        <d v="2022-01-27T00:00:00"/>
        <d v="2022-01-28T00:00:00"/>
        <d v="2022-01-29T00:00:00"/>
        <d v="2022-01-30T00:00:00"/>
        <d v="2022-01-31T00:00:00"/>
        <d v="2022-02-01T00:00:00"/>
        <d v="2022-02-02T00:00:00"/>
        <d v="2022-02-03T00:00:00"/>
        <d v="2022-02-04T00:00:00"/>
        <d v="2022-02-05T00:00:00"/>
        <d v="2022-02-06T00:00:00"/>
        <d v="2022-02-07T00:00:00"/>
        <d v="2022-02-08T00:00:00"/>
        <d v="2022-02-09T00:00:00"/>
        <d v="2022-02-10T00:00:00"/>
        <d v="2022-02-11T00:00:00"/>
        <d v="2022-02-12T00:00:00"/>
        <d v="2022-02-13T00:00:00"/>
        <d v="2022-02-14T00:00:00"/>
        <d v="2022-02-15T00:00:00"/>
        <d v="2022-02-16T00:00:00"/>
        <d v="2022-02-17T00:00:00"/>
        <d v="2022-02-18T00:00:00"/>
        <d v="2022-02-19T00:00:00"/>
        <d v="2022-02-20T00:00:00"/>
        <d v="2022-02-21T00:00:00"/>
        <d v="2022-02-22T00:00:00"/>
        <d v="2022-02-23T00:00:00"/>
        <d v="2022-02-24T00:00:00"/>
        <d v="2022-02-25T00:00:00"/>
        <d v="2022-02-26T00:00:00"/>
        <d v="2022-02-27T00:00:00"/>
        <d v="2022-02-28T00:00:00"/>
        <d v="2022-03-01T00:00:00"/>
        <d v="2022-03-02T00:00:00"/>
        <d v="2022-03-03T00:00:00"/>
        <d v="2022-03-04T00:00:00"/>
        <d v="2022-03-05T00:00:00"/>
        <d v="2022-03-06T00:00:00"/>
        <d v="2022-03-07T00:00:00"/>
        <d v="2022-03-08T00:00:00"/>
        <d v="2022-03-09T00:00:00"/>
        <d v="2022-03-10T00:00:00"/>
        <d v="2022-03-11T00:00:00"/>
        <d v="2022-03-12T00:00:00"/>
        <d v="2022-03-13T00:00:00"/>
        <d v="2022-03-14T00:00:00"/>
        <d v="2022-03-15T00:00:00"/>
        <d v="2022-03-16T00:00:00"/>
        <d v="2022-03-17T00:00:00"/>
        <d v="2022-03-18T00:00:00"/>
        <d v="2022-03-19T00:00:00"/>
        <d v="2022-03-20T00:00:00"/>
        <d v="2022-03-21T00:00:00"/>
        <d v="2022-03-22T00:00:00"/>
        <d v="2022-03-23T00:00:00"/>
        <d v="2022-03-24T00:00:00"/>
        <d v="2022-03-25T00:00:00"/>
        <d v="2022-03-26T00:00:00"/>
        <d v="2022-03-27T00:00:00"/>
        <d v="2022-03-28T00:00:00"/>
        <d v="2022-03-29T00:00:00"/>
        <d v="2022-03-30T00:00:00"/>
        <d v="2022-03-31T00:00:00"/>
        <d v="2022-04-01T00:00:00"/>
        <d v="2022-04-02T00:00:00"/>
        <d v="2022-04-03T00:00:00"/>
        <d v="2022-04-04T00:00:00"/>
        <d v="2022-04-05T00:00:00"/>
        <d v="2022-04-06T00:00:00"/>
        <d v="2022-04-07T00:00:00"/>
        <d v="2022-04-08T00:00:00"/>
        <d v="2022-04-09T00:00:00"/>
        <d v="2022-04-10T00:00:00"/>
        <d v="2022-04-11T00:00:00"/>
        <d v="2022-04-12T00:00:00"/>
        <d v="2022-04-13T00:00:00"/>
        <d v="2022-04-14T00:00:00"/>
        <d v="2022-04-15T00:00:00"/>
        <d v="2022-04-16T00:00:00"/>
        <d v="2022-04-17T00:00:00"/>
        <d v="2022-04-18T00:00:00"/>
        <d v="2022-04-19T00:00:00"/>
        <d v="2022-04-20T00:00:00"/>
        <d v="2022-04-21T00:00:00"/>
        <d v="2022-04-22T00:00:00"/>
        <d v="2022-04-23T00:00:00"/>
        <d v="2022-04-24T00:00:00"/>
        <d v="2022-04-25T00:00:00"/>
        <d v="2022-04-26T00:00:00"/>
        <d v="2022-04-27T00:00:00"/>
        <d v="2022-04-28T00:00:00"/>
        <d v="2022-04-29T00:00:00"/>
        <d v="2022-04-30T00:00:00"/>
        <d v="2022-05-01T00:00:00"/>
        <d v="2022-05-02T00:00:00"/>
        <d v="2022-05-03T00:00:00"/>
        <d v="2022-05-04T00:00:00"/>
        <d v="2022-05-05T00:00:00"/>
        <d v="2022-05-06T00:00:00"/>
        <d v="2022-05-07T00:00:00"/>
        <d v="2022-05-08T00:00:00"/>
        <d v="2022-05-09T00:00:00"/>
        <d v="2022-05-10T00:00:00"/>
        <d v="2022-05-11T00:00:00"/>
        <d v="2022-05-12T00:00:00"/>
        <d v="2022-05-13T00:00:00"/>
        <d v="2022-05-14T00:00:00"/>
        <d v="2022-05-15T00:00:00"/>
        <d v="2022-05-16T00:00:00"/>
        <d v="2022-05-17T00:00:00"/>
        <d v="2022-05-18T00:00:00"/>
        <d v="2022-05-19T00:00:00"/>
        <d v="2022-05-20T00:00:00"/>
        <d v="2022-05-21T00:00:00"/>
        <d v="2022-05-22T00:00:00"/>
        <d v="2022-05-23T00:00:00"/>
        <d v="2022-05-24T00:00:00"/>
        <d v="2022-05-25T00:00:00"/>
        <d v="2022-05-26T00:00:00"/>
        <d v="2022-05-27T00:00:00"/>
        <d v="2022-05-28T00:00:00"/>
        <d v="2022-05-29T00:00:00"/>
        <d v="2022-05-30T00:00:00"/>
        <d v="2022-05-31T00:00:00"/>
        <d v="2022-06-01T00:00:00"/>
        <d v="2022-06-02T00:00:00"/>
        <d v="2022-06-03T00:00:00"/>
        <d v="2022-06-04T00:00:00"/>
        <d v="2022-06-05T00:00:00"/>
        <d v="2022-06-06T00:00:00"/>
        <d v="2022-06-07T00:00:00"/>
        <d v="2022-06-08T00:00:00"/>
        <d v="2022-06-09T00:00:00"/>
        <d v="2022-06-10T00:00:00"/>
        <d v="2022-06-11T00:00:00"/>
        <d v="2022-06-12T00:00:00"/>
        <d v="2022-06-13T00:00:00"/>
        <d v="2022-06-14T00:00:00"/>
        <d v="2022-06-15T00:00:00"/>
        <d v="2022-06-16T00:00:00"/>
        <d v="2022-06-17T00:00:00"/>
        <d v="2022-06-18T00:00:00"/>
        <d v="2022-06-19T00:00:00"/>
        <d v="2022-06-20T00:00:00"/>
        <d v="2022-06-21T00:00:00"/>
        <d v="2022-06-22T00:00:00"/>
        <d v="2022-06-23T00:00:00"/>
        <d v="2022-06-24T00:00:00"/>
        <d v="2022-06-25T00:00:00"/>
        <d v="2022-06-26T00:00:00"/>
        <d v="2022-06-27T00:00:00"/>
        <d v="2022-06-28T00:00:00"/>
        <d v="2022-06-29T00:00:00"/>
        <d v="2022-06-30T00:00:00"/>
        <d v="2022-07-01T00:00:00"/>
        <d v="2022-07-02T00:00:00"/>
        <d v="2022-07-03T00:00:00"/>
        <d v="2022-07-04T00:00:00"/>
        <d v="2022-07-05T00:00:00"/>
        <d v="2022-07-06T00:00:00"/>
        <d v="2022-07-07T00:00:00"/>
        <d v="2022-07-08T00:00:00"/>
        <d v="2022-07-09T00:00:00"/>
        <d v="2022-07-10T00:00:00"/>
        <d v="2022-07-11T00:00:00"/>
        <d v="2022-07-12T00:00:00"/>
        <d v="2022-07-13T00:00:00"/>
        <d v="2022-07-14T00:00:00"/>
        <d v="2022-07-15T00:00:00"/>
        <d v="2022-07-16T00:00:00"/>
        <d v="2022-07-17T00:00:00"/>
        <d v="2022-07-18T00:00:00"/>
        <d v="2022-07-19T00:00:00"/>
        <d v="2022-07-20T00:00:00"/>
        <d v="2022-07-21T00:00:00"/>
        <d v="2022-07-22T00:00:00"/>
        <d v="2022-07-23T00:00:00"/>
        <d v="2022-07-24T00:00:00"/>
        <d v="2022-07-25T00:00:00"/>
        <d v="2022-07-26T00:00:00"/>
        <d v="2022-07-27T00:00:00"/>
        <d v="2022-07-28T00:00:00"/>
        <d v="2022-07-29T00:00:00"/>
        <d v="2022-07-30T00:00:00"/>
        <d v="2022-07-31T00:00:00"/>
        <d v="2022-08-01T00:00:00"/>
        <d v="2022-08-02T00:00:00"/>
        <d v="2022-08-03T00:00:00"/>
        <d v="2022-08-04T00:00:00"/>
        <d v="2022-08-05T00:00:00"/>
        <d v="2022-08-06T00:00:00"/>
        <d v="2022-08-07T00:00:00"/>
        <d v="2022-08-08T00:00:00"/>
        <d v="2022-08-09T00:00:00"/>
        <d v="2022-08-10T00:00:00"/>
        <d v="2022-08-11T00:00:00"/>
        <d v="2022-08-12T00:00:00"/>
        <d v="2022-08-13T00:00:00"/>
        <d v="2022-08-14T00:00:00"/>
        <d v="2022-08-15T00:00:00"/>
        <d v="2022-08-16T00:00:00"/>
        <d v="2022-08-17T00:00:00"/>
        <d v="2022-08-18T00:00:00"/>
        <d v="2022-08-19T00:00:00"/>
        <d v="2022-08-20T00:00:00"/>
        <d v="2022-08-21T00:00:00"/>
        <d v="2022-08-22T00:00:00"/>
        <d v="2022-08-23T00:00:00"/>
        <d v="2022-08-24T00:00:00"/>
        <d v="2022-08-25T00:00:00"/>
        <d v="2022-08-26T00:00:00"/>
        <d v="2022-08-27T00:00:00"/>
        <d v="2022-08-28T00:00:00"/>
        <d v="2022-08-29T00:00:00"/>
        <d v="2022-08-30T00:00:00"/>
        <d v="2022-08-31T00:00:00"/>
        <d v="2022-09-01T00:00:00"/>
        <d v="2022-09-02T00:00:00"/>
        <d v="2022-09-03T00:00:00"/>
        <d v="2022-09-04T00:00:00"/>
        <d v="2022-09-05T00:00:00"/>
        <d v="2022-09-06T00:00:00"/>
        <d v="2022-09-07T00:00:00"/>
        <d v="2022-09-08T00:00:00"/>
        <d v="2022-09-09T00:00:00"/>
        <d v="2022-09-10T00:00:00"/>
        <d v="2022-09-11T00:00:00"/>
        <d v="2022-09-12T00:00:00"/>
        <d v="2022-09-13T00:00:00"/>
        <d v="2022-09-14T00:00:00"/>
        <d v="2022-09-15T00:00:00"/>
        <d v="2022-09-16T00:00:00"/>
        <d v="2022-09-17T00:00:00"/>
        <d v="2022-09-18T00:00:00"/>
        <d v="2022-09-19T00:00:00"/>
        <d v="2022-09-20T00:00:00"/>
        <d v="2022-09-21T00:00:00"/>
        <d v="2022-09-22T00:00:00"/>
        <d v="2022-09-23T00:00:00"/>
        <d v="2022-09-24T00:00:00"/>
        <d v="2022-09-25T00:00:00"/>
        <d v="2022-09-26T00:00:00"/>
        <d v="2022-09-27T00:00:00"/>
        <d v="2022-09-28T00:00:00"/>
        <d v="2022-09-29T00:00:00"/>
        <d v="2022-09-30T00:00:00"/>
        <d v="2022-10-01T00:00:00"/>
        <d v="2022-10-02T00:00:00"/>
        <d v="2022-10-03T00:00:00"/>
        <d v="2022-10-04T00:00:00"/>
        <d v="2022-10-05T00:00:00"/>
        <d v="2022-10-06T00:00:00"/>
        <d v="2022-10-07T00:00:00"/>
        <d v="2022-10-08T00:00:00"/>
        <d v="2022-10-09T00:00:00"/>
        <d v="2022-10-10T00:00:00"/>
        <d v="2022-10-11T00:00:00"/>
        <d v="2022-10-12T00:00:00"/>
        <d v="2022-10-13T00:00:00"/>
        <d v="2022-10-14T00:00:00"/>
        <d v="2022-10-15T00:00:00"/>
        <d v="2022-10-16T00:00:00"/>
        <d v="2022-10-17T00:00:00"/>
        <d v="2022-10-18T00:00:00"/>
        <d v="2022-10-19T00:00:00"/>
        <d v="2022-10-20T00:00:00"/>
        <d v="2022-10-21T00:00:00"/>
        <d v="2022-10-22T00:00:00"/>
        <d v="2022-10-23T00:00:00"/>
        <d v="2022-10-24T00:00:00"/>
        <d v="2022-10-25T00:00:00"/>
        <d v="2022-10-26T00:00:00"/>
        <d v="2022-10-27T00:00:00"/>
        <d v="2022-10-28T00:00:00"/>
        <d v="2022-10-29T00:00:00"/>
        <d v="2022-10-30T00:00:00"/>
        <d v="2022-10-31T00:00:00"/>
        <d v="2022-11-01T00:00:00"/>
        <d v="2022-11-02T00:00:00"/>
        <d v="2022-11-03T00:00:00"/>
        <d v="2022-11-04T00:00:00"/>
        <d v="2022-11-05T00:00:00"/>
        <d v="2022-11-06T00:00:00"/>
        <d v="2022-11-07T00:00:00"/>
        <d v="2022-11-08T00:00:00"/>
        <d v="2022-11-09T00:00:00"/>
        <d v="2022-11-10T00:00:00"/>
        <d v="2022-11-11T00:00:00"/>
        <d v="2022-11-12T00:00:00"/>
        <d v="2022-11-13T00:00:00"/>
        <d v="2022-11-14T00:00:00"/>
        <d v="2022-11-15T00:00:00"/>
        <d v="2022-11-16T00:00:00"/>
        <d v="2022-11-17T00:00:00"/>
        <d v="2022-11-18T00:00:00"/>
        <d v="2022-11-19T00:00:00"/>
        <d v="2022-11-20T00:00:00"/>
        <d v="2022-11-21T00:00:00"/>
        <d v="2022-11-22T00:00:00"/>
        <d v="2022-11-23T00:00:00"/>
        <d v="2022-11-24T00:00:00"/>
        <d v="2022-11-25T00:00:00"/>
        <d v="2022-11-26T00:00:00"/>
        <d v="2022-11-27T00:00:00"/>
        <d v="2022-11-28T00:00:00"/>
        <d v="2022-11-29T00:00:00"/>
        <d v="2022-11-30T00:00:00"/>
        <d v="2022-12-01T00:00:00"/>
        <d v="2022-12-02T00:00:00"/>
        <d v="2022-12-03T00:00:00"/>
        <d v="2022-12-04T00:00:00"/>
        <d v="2022-12-05T00:00:00"/>
        <d v="2022-12-06T00:00:00"/>
        <d v="2022-12-07T00:00:00"/>
        <d v="2022-12-08T00:00:00"/>
        <d v="2022-12-09T00:00:00"/>
        <d v="2022-12-10T00:00:00"/>
        <d v="2022-12-11T00:00:00"/>
        <d v="2022-12-12T00:00:00"/>
        <d v="2022-12-13T00:00:00"/>
        <d v="2022-12-14T00:00:00"/>
        <d v="2022-12-15T00:00:00"/>
        <d v="2022-12-16T00:00:00"/>
        <d v="2022-12-17T00:00:00"/>
        <d v="2022-12-18T00:00:00"/>
        <d v="2022-12-19T00:00:00"/>
        <d v="2022-12-20T00:00:00"/>
        <d v="2022-12-21T00:00:00"/>
        <d v="2022-12-22T00:00:00"/>
        <d v="2022-12-23T00:00:00"/>
        <d v="2022-12-24T00:00:00"/>
        <d v="2022-12-25T00:00:00"/>
        <d v="2022-12-26T00:00:00"/>
        <d v="2022-12-27T00:00:00"/>
        <d v="2022-12-28T00:00:00"/>
        <d v="2022-12-29T00:00:00"/>
        <d v="2022-12-30T00:00:00"/>
        <d v="2022-12-31T00:00:00"/>
        <d v="2023-01-01T00:00:00"/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09T00:00:00"/>
        <d v="2023-01-10T00:00:00"/>
        <d v="2023-01-11T00:00:00"/>
        <d v="2023-01-12T00:00:00"/>
        <d v="2023-01-13T00:00:00"/>
        <d v="2023-01-14T00:00:00"/>
        <d v="2023-01-15T00:00:00"/>
        <d v="2023-01-16T00:00:00"/>
        <d v="2023-01-17T00:00:00"/>
        <d v="2023-01-18T00:00:00"/>
        <d v="2023-01-19T00:00:00"/>
        <d v="2023-01-20T00:00:00"/>
        <d v="2023-01-21T00:00:00"/>
        <d v="2023-01-22T00:00:00"/>
        <d v="2023-01-23T00:00:00"/>
        <d v="2023-01-24T00:00:00"/>
        <d v="2023-01-25T00:00:00"/>
        <d v="2023-01-26T00:00:00"/>
        <d v="2023-01-27T00:00:00"/>
        <d v="2023-01-28T00:00:00"/>
        <d v="2023-01-29T00:00:00"/>
        <d v="2023-01-30T00:00:00"/>
        <d v="2023-01-31T00:00:00"/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0T00:00:00"/>
        <d v="2023-02-11T00:00:00"/>
        <d v="2023-02-12T00:00:00"/>
        <d v="2023-02-13T00:00:00"/>
        <d v="2023-02-14T00:00:00"/>
        <d v="2023-02-15T00:00:00"/>
        <d v="2023-02-16T00:00:00"/>
        <d v="2023-02-17T00:00:00"/>
        <d v="2023-02-18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2-28T00:00:00"/>
        <d v="2023-03-01T00:00:00"/>
        <d v="2023-03-02T00:00:00"/>
        <d v="2023-03-03T00:00:00"/>
        <d v="2023-03-04T00:00:00"/>
        <d v="2023-03-05T00:00:00"/>
        <d v="2023-03-06T00:00:00"/>
        <d v="2023-03-07T00:00:00"/>
        <d v="2023-03-0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0T00:00:00"/>
        <d v="2023-03-21T00:00:00"/>
        <d v="2023-03-22T00:00:00"/>
        <d v="2023-03-23T00:00:00"/>
        <d v="2023-03-24T00:00:00"/>
        <d v="2023-03-25T00:00:00"/>
        <d v="2023-03-26T00:00:00"/>
        <d v="2023-03-27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09T00:00:00"/>
        <d v="2023-04-10T00:00:00"/>
        <d v="2023-04-11T00:00:00"/>
        <d v="2023-04-12T00:00:00"/>
        <d v="2023-04-13T00:00:00"/>
        <d v="2023-04-14T00:00:00"/>
        <d v="2023-04-15T00:00:00"/>
        <d v="2023-04-16T00:00:00"/>
        <d v="2023-04-17T00:00:00"/>
        <d v="2023-04-18T00:00:00"/>
        <d v="2023-04-19T00:00:00"/>
        <d v="2023-04-20T00:00:00"/>
        <d v="2023-04-21T00:00:00"/>
        <d v="2023-04-22T00:00:00"/>
        <d v="2023-04-23T00:00:00"/>
        <d v="2023-04-24T00:00:00"/>
        <d v="2023-04-25T00:00:00"/>
        <d v="2023-04-26T00:00:00"/>
        <d v="2023-04-27T00:00:00"/>
        <d v="2023-04-28T00:00:00"/>
        <d v="2023-04-29T00:00:00"/>
        <d v="2023-04-30T00:00:00"/>
        <d v="2023-05-01T00:00:00"/>
        <d v="2023-05-02T00:00:00"/>
        <d v="2023-05-03T00:00:00"/>
        <d v="2023-05-04T00:00:00"/>
        <d v="2023-05-05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3T00:00:00"/>
        <d v="2023-05-14T00:00:00"/>
        <d v="2023-05-15T00:00:00"/>
      </sharedItems>
      <fieldGroup par="19"/>
    </cacheField>
    <cacheField name="customer_id" numFmtId="0">
      <sharedItems containsMixedTypes="1" containsNumber="1" containsInteger="1" minValue="1001" maxValue="1996"/>
    </cacheField>
    <cacheField name="product_category" numFmtId="0">
      <sharedItems count="4">
        <s v="Beauty"/>
        <s v="Clothing"/>
        <s v="Electronics"/>
        <s v="Home"/>
      </sharedItems>
    </cacheField>
    <cacheField name="product category clean" numFmtId="0">
      <sharedItems count="4">
        <s v="Beauty"/>
        <s v="Clothing"/>
        <s v="Electronics"/>
        <s v="Home"/>
      </sharedItems>
    </cacheField>
    <cacheField name="region" numFmtId="0">
      <sharedItems count="4">
        <s v="South"/>
        <s v="East"/>
        <s v="West"/>
        <s v="North"/>
      </sharedItems>
    </cacheField>
    <cacheField name="region clean" numFmtId="0">
      <sharedItems/>
    </cacheField>
    <cacheField name="quantity" numFmtId="0">
      <sharedItems containsSemiMixedTypes="0" containsString="0" containsNumber="1" containsInteger="1" minValue="1" maxValue="7"/>
    </cacheField>
    <cacheField name="unit_price" numFmtId="0">
      <sharedItems containsSemiMixedTypes="0" containsString="0" containsNumber="1" minValue="15.78" maxValue="599.32000000000005"/>
    </cacheField>
    <cacheField name="discount" numFmtId="0">
      <sharedItems containsSemiMixedTypes="0" containsString="0" containsNumber="1" minValue="0" maxValue="0.35"/>
    </cacheField>
    <cacheField name="payment method clean" numFmtId="0">
      <sharedItems count="3">
        <s v="Wallet"/>
        <s v="Card"/>
        <s v="Cod"/>
      </sharedItems>
    </cacheField>
    <cacheField name="payment_method" numFmtId="0">
      <sharedItems/>
    </cacheField>
    <cacheField name="delivery_days" numFmtId="0">
      <sharedItems containsSemiMixedTypes="0" containsString="0" containsNumber="1" containsInteger="1" minValue="1" maxValue="11"/>
    </cacheField>
    <cacheField name="customer_rating" numFmtId="0">
      <sharedItems containsSemiMixedTypes="0" containsString="0" containsNumber="1" minValue="1" maxValue="5"/>
    </cacheField>
    <cacheField name="revenue" numFmtId="0">
      <sharedItems containsSemiMixedTypes="0" containsString="0" containsNumber="1" minValue="13.01" maxValue="3917.54"/>
    </cacheField>
    <cacheField name="revenue check" numFmtId="0">
      <sharedItems containsSemiMixedTypes="0" containsString="0" containsNumber="1" minValue="13.01" maxValue="3917.54"/>
    </cacheField>
    <cacheField name="Months (order _date_clean)" numFmtId="0" databaseField="0">
      <fieldGroup base="2">
        <rangePr groupBy="months" startDate="2022-01-01T00:00:00" endDate="2023-05-16T00:00:00"/>
        <groupItems count="14">
          <s v="&lt;01-01-202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6-05-2023"/>
        </groupItems>
      </fieldGroup>
    </cacheField>
    <cacheField name="Quarters (order _date_clean)" numFmtId="0" databaseField="0">
      <fieldGroup base="2">
        <rangePr groupBy="quarters" startDate="2022-01-01T00:00:00" endDate="2023-05-16T00:00:00"/>
        <groupItems count="6">
          <s v="&lt;01-01-2022"/>
          <s v="Qtr1"/>
          <s v="Qtr2"/>
          <s v="Qtr3"/>
          <s v="Qtr4"/>
          <s v="&gt;16-05-2023"/>
        </groupItems>
      </fieldGroup>
    </cacheField>
    <cacheField name="Years (order _date_clean)" numFmtId="0" databaseField="0">
      <fieldGroup base="2">
        <rangePr groupBy="years" startDate="2022-01-01T00:00:00" endDate="2023-05-16T00:00:00"/>
        <groupItems count="4">
          <s v="&lt;01-01-2022"/>
          <s v="2022"/>
          <s v="2023"/>
          <s v="&gt;16-05-202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x v="0"/>
    <d v="2022-01-01T00:00:00"/>
    <x v="0"/>
    <n v="1102"/>
    <x v="0"/>
    <x v="0"/>
    <x v="0"/>
    <s v="South"/>
    <n v="7"/>
    <n v="373.65"/>
    <n v="0.28000000000000003"/>
    <x v="0"/>
    <s v="Wallet"/>
    <n v="10"/>
    <n v="4.7"/>
    <n v="1883.2"/>
    <n v="1883.2"/>
  </r>
  <r>
    <x v="1"/>
    <d v="2022-02-01T00:00:00"/>
    <x v="1"/>
    <n v="1435"/>
    <x v="1"/>
    <x v="1"/>
    <x v="0"/>
    <s v="South"/>
    <n v="7"/>
    <n v="47.74"/>
    <n v="0.09"/>
    <x v="1"/>
    <s v="Card"/>
    <n v="6"/>
    <n v="3.9"/>
    <n v="304.10000000000002"/>
    <n v="304.10000000000002"/>
  </r>
  <r>
    <x v="2"/>
    <d v="2022-03-01T00:00:00"/>
    <x v="2"/>
    <n v="1860"/>
    <x v="0"/>
    <x v="0"/>
    <x v="1"/>
    <s v="East"/>
    <n v="3"/>
    <n v="311.27999999999997"/>
    <n v="0.31"/>
    <x v="2"/>
    <s v="COD"/>
    <n v="6"/>
    <n v="2.5"/>
    <n v="644.35"/>
    <n v="644.35"/>
  </r>
  <r>
    <x v="3"/>
    <d v="2022-04-01T00:00:00"/>
    <x v="3"/>
    <n v="1270"/>
    <x v="2"/>
    <x v="2"/>
    <x v="2"/>
    <s v="West"/>
    <n v="5"/>
    <n v="524.47"/>
    <n v="0.02"/>
    <x v="0"/>
    <s v="Wallet"/>
    <n v="6"/>
    <n v="1.6"/>
    <n v="2569.9"/>
    <n v="2569.9"/>
  </r>
  <r>
    <x v="4"/>
    <d v="2022-05-01T00:00:00"/>
    <x v="4"/>
    <n v="1106"/>
    <x v="1"/>
    <x v="1"/>
    <x v="2"/>
    <s v="West"/>
    <n v="5"/>
    <n v="139.87"/>
    <n v="0.33"/>
    <x v="0"/>
    <s v="Wallet"/>
    <n v="4"/>
    <n v="4.9000000000000004"/>
    <n v="468.56"/>
    <n v="468.56"/>
  </r>
  <r>
    <x v="5"/>
    <d v="2022-06-01T00:00:00"/>
    <x v="5"/>
    <n v="1071"/>
    <x v="2"/>
    <x v="2"/>
    <x v="2"/>
    <s v="West"/>
    <n v="2"/>
    <n v="264.44"/>
    <n v="0.2"/>
    <x v="1"/>
    <s v="Card"/>
    <n v="3"/>
    <n v="3.3"/>
    <n v="423.1"/>
    <n v="423.1"/>
  </r>
  <r>
    <x v="6"/>
    <d v="2022-07-01T00:00:00"/>
    <x v="6"/>
    <n v="1700"/>
    <x v="1"/>
    <x v="1"/>
    <x v="0"/>
    <s v="South"/>
    <n v="6"/>
    <n v="564.6"/>
    <n v="0.23"/>
    <x v="1"/>
    <s v="Card"/>
    <n v="1"/>
    <n v="1.8"/>
    <n v="2608.4499999999998"/>
    <n v="2608.4499999999998"/>
  </r>
  <r>
    <x v="7"/>
    <d v="2022-08-01T00:00:00"/>
    <x v="7"/>
    <n v="1020"/>
    <x v="0"/>
    <x v="0"/>
    <x v="3"/>
    <s v="North"/>
    <n v="6"/>
    <n v="265.70999999999998"/>
    <n v="0.13"/>
    <x v="1"/>
    <s v="Card"/>
    <n v="2"/>
    <n v="3.7"/>
    <n v="1387.01"/>
    <n v="1387.01"/>
  </r>
  <r>
    <x v="8"/>
    <d v="2022-09-01T00:00:00"/>
    <x v="8"/>
    <n v="1614"/>
    <x v="1"/>
    <x v="1"/>
    <x v="0"/>
    <s v="South"/>
    <n v="6"/>
    <n v="224.65"/>
    <n v="0.27"/>
    <x v="1"/>
    <s v="Card"/>
    <n v="2"/>
    <n v="1.4"/>
    <n v="983.97"/>
    <n v="983.97"/>
  </r>
  <r>
    <x v="9"/>
    <d v="2022-10-01T00:00:00"/>
    <x v="9"/>
    <n v="1121"/>
    <x v="1"/>
    <x v="1"/>
    <x v="2"/>
    <s v="West"/>
    <n v="4"/>
    <n v="272.70999999999998"/>
    <n v="0.06"/>
    <x v="1"/>
    <s v="Card"/>
    <n v="10"/>
    <n v="4.5"/>
    <n v="1025.3900000000001"/>
    <n v="1025.3900000000001"/>
  </r>
  <r>
    <x v="10"/>
    <d v="2022-11-01T00:00:00"/>
    <x v="10"/>
    <n v="1466"/>
    <x v="1"/>
    <x v="1"/>
    <x v="2"/>
    <s v="West"/>
    <n v="6"/>
    <n v="318.88"/>
    <n v="0.02"/>
    <x v="2"/>
    <s v="COD"/>
    <n v="7"/>
    <n v="1.4"/>
    <n v="1875.01"/>
    <n v="1875.01"/>
  </r>
  <r>
    <x v="11"/>
    <d v="2022-12-01T00:00:00"/>
    <x v="11"/>
    <n v="1214"/>
    <x v="2"/>
    <x v="2"/>
    <x v="2"/>
    <s v="West"/>
    <n v="3"/>
    <n v="384.71"/>
    <n v="0.14000000000000001"/>
    <x v="2"/>
    <s v="COD"/>
    <n v="11"/>
    <n v="1.9"/>
    <n v="992.55"/>
    <n v="992.55"/>
  </r>
  <r>
    <x v="12"/>
    <s v="1/13/2022"/>
    <x v="12"/>
    <n v="1330"/>
    <x v="0"/>
    <x v="0"/>
    <x v="0"/>
    <s v="South"/>
    <n v="7"/>
    <n v="483.41"/>
    <n v="0.3"/>
    <x v="2"/>
    <s v="COD"/>
    <n v="6"/>
    <n v="1.4"/>
    <n v="2368.71"/>
    <n v="2368.71"/>
  </r>
  <r>
    <x v="13"/>
    <s v="1/14/2022"/>
    <x v="13"/>
    <n v="1458"/>
    <x v="1"/>
    <x v="1"/>
    <x v="2"/>
    <s v="West"/>
    <n v="7"/>
    <n v="279.48"/>
    <n v="0.26"/>
    <x v="2"/>
    <s v="COD"/>
    <n v="8"/>
    <n v="1.4"/>
    <n v="1447.71"/>
    <n v="1447.71"/>
  </r>
  <r>
    <x v="14"/>
    <s v="1/15/2022"/>
    <x v="14"/>
    <n v="1087"/>
    <x v="1"/>
    <x v="1"/>
    <x v="1"/>
    <s v="East"/>
    <n v="4"/>
    <n v="493.23"/>
    <n v="0.18"/>
    <x v="1"/>
    <s v="Card"/>
    <n v="9"/>
    <n v="3.1"/>
    <n v="1617.79"/>
    <n v="1617.79"/>
  </r>
  <r>
    <x v="15"/>
    <s v="1/16/2022"/>
    <x v="15"/>
    <n v="1372"/>
    <x v="1"/>
    <x v="1"/>
    <x v="2"/>
    <s v="West"/>
    <n v="2"/>
    <n v="327.23"/>
    <n v="0.2"/>
    <x v="0"/>
    <s v="Wallet"/>
    <n v="5"/>
    <n v="3.7"/>
    <n v="523.57000000000005"/>
    <n v="523.57000000000005"/>
  </r>
  <r>
    <x v="16"/>
    <s v="1/17/2022"/>
    <x v="16"/>
    <n v="1099"/>
    <x v="1"/>
    <x v="1"/>
    <x v="3"/>
    <s v="North"/>
    <n v="3"/>
    <n v="213.01"/>
    <n v="0.05"/>
    <x v="0"/>
    <s v="Wallet"/>
    <n v="11"/>
    <n v="4.2"/>
    <n v="607.08000000000004"/>
    <n v="607.08000000000004"/>
  </r>
  <r>
    <x v="17"/>
    <s v="1/18/2022"/>
    <x v="17"/>
    <n v="1871"/>
    <x v="2"/>
    <x v="2"/>
    <x v="1"/>
    <s v="East"/>
    <n v="7"/>
    <n v="399.9"/>
    <n v="0.28999999999999998"/>
    <x v="2"/>
    <s v="COD"/>
    <n v="3"/>
    <n v="3.8"/>
    <n v="1987.5"/>
    <n v="1987.5"/>
  </r>
  <r>
    <x v="18"/>
    <s v="1/19/2022"/>
    <x v="18"/>
    <n v="1663"/>
    <x v="3"/>
    <x v="3"/>
    <x v="2"/>
    <s v="West"/>
    <n v="3"/>
    <n v="434.87"/>
    <n v="0.28000000000000003"/>
    <x v="0"/>
    <s v="Wallet"/>
    <n v="4"/>
    <n v="2.5"/>
    <n v="939.32"/>
    <n v="939.32"/>
  </r>
  <r>
    <x v="19"/>
    <s v="1/20/2022"/>
    <x v="19"/>
    <n v="1130"/>
    <x v="2"/>
    <x v="2"/>
    <x v="1"/>
    <s v="East"/>
    <n v="7"/>
    <n v="341.46"/>
    <n v="0.23"/>
    <x v="1"/>
    <s v="Card"/>
    <n v="11"/>
    <n v="3.2"/>
    <n v="1840.47"/>
    <n v="1840.47"/>
  </r>
  <r>
    <x v="20"/>
    <s v="1/21/2022"/>
    <x v="20"/>
    <s v="unknown"/>
    <x v="3"/>
    <x v="3"/>
    <x v="2"/>
    <s v="West"/>
    <n v="1"/>
    <n v="48.12"/>
    <n v="0.16"/>
    <x v="2"/>
    <s v="COD"/>
    <n v="8"/>
    <n v="4.7"/>
    <n v="40.42"/>
    <n v="40.42"/>
  </r>
  <r>
    <x v="21"/>
    <s v="1/22/2022"/>
    <x v="21"/>
    <n v="1308"/>
    <x v="3"/>
    <x v="3"/>
    <x v="3"/>
    <s v="North"/>
    <n v="2"/>
    <n v="114.38"/>
    <n v="0.34"/>
    <x v="1"/>
    <s v="Card"/>
    <n v="3"/>
    <n v="2.6"/>
    <n v="150.97999999999999"/>
    <n v="150.97999999999999"/>
  </r>
  <r>
    <x v="22"/>
    <s v="1/23/2022"/>
    <x v="22"/>
    <n v="1769"/>
    <x v="3"/>
    <x v="3"/>
    <x v="2"/>
    <s v="West"/>
    <n v="2"/>
    <n v="181.9"/>
    <n v="0.31"/>
    <x v="1"/>
    <s v="Card"/>
    <n v="2"/>
    <n v="2"/>
    <n v="251.02"/>
    <n v="251.02"/>
  </r>
  <r>
    <x v="23"/>
    <s v="1/24/2022"/>
    <x v="23"/>
    <n v="1343"/>
    <x v="1"/>
    <x v="1"/>
    <x v="1"/>
    <s v="East"/>
    <n v="1"/>
    <n v="180.34"/>
    <n v="0.23"/>
    <x v="1"/>
    <s v="Card"/>
    <n v="7"/>
    <n v="3.1"/>
    <n v="138.86000000000001"/>
    <n v="138.86000000000001"/>
  </r>
  <r>
    <x v="24"/>
    <s v="1/25/2022"/>
    <x v="24"/>
    <n v="1491"/>
    <x v="1"/>
    <x v="1"/>
    <x v="3"/>
    <s v="North"/>
    <n v="4"/>
    <n v="408.95"/>
    <n v="0.13"/>
    <x v="2"/>
    <s v="COD"/>
    <n v="4"/>
    <n v="2.2000000000000002"/>
    <n v="1423.15"/>
    <n v="1423.15"/>
  </r>
  <r>
    <x v="25"/>
    <s v="1/26/2022"/>
    <x v="25"/>
    <n v="1413"/>
    <x v="2"/>
    <x v="2"/>
    <x v="0"/>
    <s v="South"/>
    <n v="7"/>
    <n v="25.73"/>
    <n v="0.22"/>
    <x v="1"/>
    <s v="Card"/>
    <n v="8"/>
    <n v="2"/>
    <n v="140.49"/>
    <n v="140.49"/>
  </r>
  <r>
    <x v="26"/>
    <s v="1/27/2022"/>
    <x v="26"/>
    <n v="1805"/>
    <x v="3"/>
    <x v="3"/>
    <x v="3"/>
    <s v="North"/>
    <n v="7"/>
    <n v="457.07"/>
    <n v="0.2"/>
    <x v="2"/>
    <s v="COD"/>
    <n v="1"/>
    <n v="4.0999999999999996"/>
    <n v="2559.59"/>
    <n v="2559.59"/>
  </r>
  <r>
    <x v="27"/>
    <s v="1/28/2022"/>
    <x v="27"/>
    <n v="1385"/>
    <x v="2"/>
    <x v="2"/>
    <x v="3"/>
    <s v="North"/>
    <n v="7"/>
    <n v="170.23"/>
    <n v="0.14000000000000001"/>
    <x v="1"/>
    <s v="Card"/>
    <n v="8"/>
    <n v="4.5999999999999996"/>
    <n v="1024.78"/>
    <n v="1024.78"/>
  </r>
  <r>
    <x v="28"/>
    <s v="1/29/2022"/>
    <x v="28"/>
    <n v="1191"/>
    <x v="1"/>
    <x v="1"/>
    <x v="3"/>
    <s v="North"/>
    <n v="6"/>
    <n v="196.36"/>
    <n v="0.11"/>
    <x v="0"/>
    <s v="Wallet"/>
    <n v="5"/>
    <n v="3"/>
    <n v="1048.56"/>
    <n v="1048.56"/>
  </r>
  <r>
    <x v="29"/>
    <s v="1/30/2022"/>
    <x v="29"/>
    <n v="1955"/>
    <x v="2"/>
    <x v="2"/>
    <x v="1"/>
    <s v="East"/>
    <n v="6"/>
    <n v="323.83"/>
    <n v="0.14000000000000001"/>
    <x v="2"/>
    <s v="COD"/>
    <n v="2"/>
    <n v="4.0999999999999996"/>
    <n v="1670.96"/>
    <n v="1670.96"/>
  </r>
  <r>
    <x v="30"/>
    <s v="1/31/2022"/>
    <x v="30"/>
    <n v="1276"/>
    <x v="2"/>
    <x v="2"/>
    <x v="3"/>
    <s v="North"/>
    <n v="6"/>
    <n v="141.32"/>
    <n v="0.2"/>
    <x v="1"/>
    <s v="Card"/>
    <n v="1"/>
    <n v="1.7"/>
    <n v="678.34"/>
    <n v="678.34"/>
  </r>
  <r>
    <x v="31"/>
    <d v="2022-01-02T00:00:00"/>
    <x v="31"/>
    <n v="1160"/>
    <x v="1"/>
    <x v="1"/>
    <x v="2"/>
    <s v="West"/>
    <n v="6"/>
    <n v="532.41999999999996"/>
    <n v="0.15"/>
    <x v="1"/>
    <s v="Card"/>
    <n v="6"/>
    <n v="3.2"/>
    <n v="2715.34"/>
    <n v="2715.34"/>
  </r>
  <r>
    <x v="32"/>
    <d v="2022-02-02T00:00:00"/>
    <x v="32"/>
    <n v="1459"/>
    <x v="2"/>
    <x v="2"/>
    <x v="3"/>
    <s v="North"/>
    <n v="6"/>
    <n v="64.94"/>
    <n v="0.09"/>
    <x v="0"/>
    <s v="Wallet"/>
    <n v="9"/>
    <n v="3.5"/>
    <n v="354.57"/>
    <n v="354.57"/>
  </r>
  <r>
    <x v="33"/>
    <d v="2022-03-02T00:00:00"/>
    <x v="33"/>
    <n v="1313"/>
    <x v="3"/>
    <x v="3"/>
    <x v="3"/>
    <s v="North"/>
    <n v="1"/>
    <n v="274.95999999999998"/>
    <n v="0.27"/>
    <x v="1"/>
    <s v="Card"/>
    <n v="9"/>
    <n v="3"/>
    <n v="200.72"/>
    <n v="200.72"/>
  </r>
  <r>
    <x v="34"/>
    <d v="2022-04-02T00:00:00"/>
    <x v="34"/>
    <n v="1021"/>
    <x v="2"/>
    <x v="2"/>
    <x v="2"/>
    <s v="West"/>
    <n v="2"/>
    <n v="511.91"/>
    <n v="0.19"/>
    <x v="2"/>
    <s v="COD"/>
    <n v="9"/>
    <n v="1.5"/>
    <n v="829.29"/>
    <n v="829.29"/>
  </r>
  <r>
    <x v="35"/>
    <d v="2022-05-02T00:00:00"/>
    <x v="35"/>
    <n v="1252"/>
    <x v="2"/>
    <x v="2"/>
    <x v="2"/>
    <s v="West"/>
    <n v="4"/>
    <n v="375.27"/>
    <n v="0.02"/>
    <x v="2"/>
    <s v="COD"/>
    <n v="11"/>
    <n v="3.9"/>
    <n v="1471.06"/>
    <n v="1471.06"/>
  </r>
  <r>
    <x v="36"/>
    <d v="2022-06-02T00:00:00"/>
    <x v="36"/>
    <n v="1747"/>
    <x v="1"/>
    <x v="1"/>
    <x v="0"/>
    <s v="South"/>
    <n v="3"/>
    <n v="186.01"/>
    <n v="0.13"/>
    <x v="1"/>
    <s v="Card"/>
    <n v="4"/>
    <n v="4.4000000000000004"/>
    <n v="485.49"/>
    <n v="485.49"/>
  </r>
  <r>
    <x v="37"/>
    <d v="2022-07-02T00:00:00"/>
    <x v="37"/>
    <n v="1856"/>
    <x v="2"/>
    <x v="2"/>
    <x v="3"/>
    <s v="North"/>
    <n v="6"/>
    <n v="261.14"/>
    <n v="0.31"/>
    <x v="1"/>
    <s v="Card"/>
    <n v="6"/>
    <n v="3.5"/>
    <n v="1081.1199999999999"/>
    <n v="1081.1199999999999"/>
  </r>
  <r>
    <x v="38"/>
    <d v="2022-08-02T00:00:00"/>
    <x v="38"/>
    <n v="1560"/>
    <x v="2"/>
    <x v="2"/>
    <x v="1"/>
    <s v="East"/>
    <n v="1"/>
    <n v="428.42"/>
    <n v="0.26"/>
    <x v="2"/>
    <s v="COD"/>
    <n v="10"/>
    <n v="1.7"/>
    <n v="317.02999999999997"/>
    <n v="317.02999999999997"/>
  </r>
  <r>
    <x v="39"/>
    <d v="2022-09-02T00:00:00"/>
    <x v="39"/>
    <n v="1474"/>
    <x v="3"/>
    <x v="3"/>
    <x v="3"/>
    <s v="North"/>
    <n v="7"/>
    <n v="584.36"/>
    <n v="0.11"/>
    <x v="1"/>
    <s v="Card"/>
    <n v="6"/>
    <n v="1.3"/>
    <n v="3640.56"/>
    <n v="3640.56"/>
  </r>
  <r>
    <x v="40"/>
    <d v="2022-10-02T00:00:00"/>
    <x v="40"/>
    <n v="1058"/>
    <x v="2"/>
    <x v="2"/>
    <x v="3"/>
    <s v="North"/>
    <n v="4"/>
    <n v="537.49"/>
    <n v="0.33"/>
    <x v="1"/>
    <s v="Card"/>
    <n v="5"/>
    <n v="2.2000000000000002"/>
    <n v="1440.47"/>
    <n v="1440.47"/>
  </r>
  <r>
    <x v="41"/>
    <d v="2022-11-02T00:00:00"/>
    <x v="41"/>
    <n v="1510"/>
    <x v="3"/>
    <x v="3"/>
    <x v="2"/>
    <s v="West"/>
    <n v="4"/>
    <n v="215.32"/>
    <n v="0.03"/>
    <x v="1"/>
    <s v="Card"/>
    <n v="2"/>
    <n v="1.1000000000000001"/>
    <n v="835.44"/>
    <n v="835.44"/>
  </r>
  <r>
    <x v="42"/>
    <d v="2022-12-02T00:00:00"/>
    <x v="42"/>
    <n v="1681"/>
    <x v="2"/>
    <x v="2"/>
    <x v="0"/>
    <s v="South"/>
    <n v="4"/>
    <n v="598.95000000000005"/>
    <n v="0.34"/>
    <x v="1"/>
    <s v="Card"/>
    <n v="7"/>
    <n v="4.4000000000000004"/>
    <n v="1581.23"/>
    <n v="1581.23"/>
  </r>
  <r>
    <x v="43"/>
    <s v="2/13/2022"/>
    <x v="43"/>
    <n v="1475"/>
    <x v="2"/>
    <x v="2"/>
    <x v="3"/>
    <s v="North"/>
    <n v="1"/>
    <n v="17.05"/>
    <n v="0.09"/>
    <x v="1"/>
    <s v="Card"/>
    <n v="1"/>
    <n v="3.8"/>
    <n v="15.52"/>
    <n v="15.52"/>
  </r>
  <r>
    <x v="44"/>
    <s v="2/14/2022"/>
    <x v="44"/>
    <n v="1699"/>
    <x v="3"/>
    <x v="3"/>
    <x v="1"/>
    <s v="East"/>
    <n v="3"/>
    <n v="31.16"/>
    <n v="0"/>
    <x v="0"/>
    <s v="Wallet"/>
    <n v="6"/>
    <n v="3.3"/>
    <n v="93.48"/>
    <n v="93.48"/>
  </r>
  <r>
    <x v="45"/>
    <s v="2/15/2022"/>
    <x v="45"/>
    <n v="1975"/>
    <x v="2"/>
    <x v="2"/>
    <x v="3"/>
    <s v="North"/>
    <n v="6"/>
    <n v="496.95"/>
    <n v="0.15"/>
    <x v="2"/>
    <s v="COD"/>
    <n v="5"/>
    <n v="4.5999999999999996"/>
    <n v="2534.44"/>
    <n v="2534.4499999999998"/>
  </r>
  <r>
    <x v="46"/>
    <s v="2/16/2022"/>
    <x v="46"/>
    <n v="1782"/>
    <x v="2"/>
    <x v="2"/>
    <x v="1"/>
    <s v="East"/>
    <n v="4"/>
    <n v="131.69"/>
    <n v="0.13"/>
    <x v="2"/>
    <s v="COD"/>
    <n v="5"/>
    <n v="1.4"/>
    <n v="458.28"/>
    <n v="458.28"/>
  </r>
  <r>
    <x v="47"/>
    <s v="2/17/2022"/>
    <x v="47"/>
    <n v="1189"/>
    <x v="1"/>
    <x v="1"/>
    <x v="2"/>
    <s v="West"/>
    <n v="1"/>
    <n v="50.55"/>
    <n v="0.19"/>
    <x v="1"/>
    <s v="Card"/>
    <n v="8"/>
    <n v="3.9"/>
    <n v="40.950000000000003"/>
    <n v="40.950000000000003"/>
  </r>
  <r>
    <x v="48"/>
    <s v="2/18/2022"/>
    <x v="48"/>
    <n v="1957"/>
    <x v="2"/>
    <x v="2"/>
    <x v="0"/>
    <s v="South"/>
    <n v="7"/>
    <n v="153.72999999999999"/>
    <n v="0.28000000000000003"/>
    <x v="1"/>
    <s v="Card"/>
    <n v="9"/>
    <n v="1.6"/>
    <n v="774.8"/>
    <n v="774.8"/>
  </r>
  <r>
    <x v="49"/>
    <s v="2/19/2022"/>
    <x v="49"/>
    <n v="1686"/>
    <x v="3"/>
    <x v="3"/>
    <x v="3"/>
    <s v="North"/>
    <n v="2"/>
    <n v="264.27"/>
    <n v="0.28999999999999998"/>
    <x v="0"/>
    <s v="Wallet"/>
    <n v="7"/>
    <n v="1.2"/>
    <n v="375.26"/>
    <n v="375.26"/>
  </r>
  <r>
    <x v="50"/>
    <s v="2/20/2022"/>
    <x v="50"/>
    <n v="1957"/>
    <x v="2"/>
    <x v="2"/>
    <x v="0"/>
    <s v="South"/>
    <n v="7"/>
    <n v="442.38"/>
    <n v="0.14000000000000001"/>
    <x v="2"/>
    <s v="COD"/>
    <n v="10"/>
    <n v="1.5"/>
    <n v="2663.13"/>
    <n v="2663.13"/>
  </r>
  <r>
    <x v="51"/>
    <s v="2/21/2022"/>
    <x v="51"/>
    <n v="1562"/>
    <x v="3"/>
    <x v="3"/>
    <x v="3"/>
    <s v="North"/>
    <n v="1"/>
    <n v="380.24"/>
    <n v="0.15"/>
    <x v="1"/>
    <s v="Card"/>
    <n v="8"/>
    <n v="4.8"/>
    <n v="323.2"/>
    <n v="323.2"/>
  </r>
  <r>
    <x v="52"/>
    <s v="2/22/2022"/>
    <x v="52"/>
    <n v="1875"/>
    <x v="0"/>
    <x v="0"/>
    <x v="1"/>
    <s v="East"/>
    <n v="1"/>
    <n v="154.01"/>
    <n v="0.05"/>
    <x v="1"/>
    <s v="Card"/>
    <n v="2"/>
    <n v="2.8"/>
    <n v="146.31"/>
    <n v="146.31"/>
  </r>
  <r>
    <x v="53"/>
    <s v="2/23/2022"/>
    <x v="53"/>
    <n v="1566"/>
    <x v="1"/>
    <x v="1"/>
    <x v="0"/>
    <s v="South"/>
    <n v="1"/>
    <n v="309.41000000000003"/>
    <n v="0.02"/>
    <x v="2"/>
    <s v="COD"/>
    <n v="2"/>
    <n v="1.2"/>
    <n v="303.22000000000003"/>
    <n v="303.22000000000003"/>
  </r>
  <r>
    <x v="54"/>
    <s v="2/24/2022"/>
    <x v="54"/>
    <n v="1243"/>
    <x v="0"/>
    <x v="0"/>
    <x v="3"/>
    <s v="North"/>
    <n v="4"/>
    <n v="556.84"/>
    <n v="0.22"/>
    <x v="0"/>
    <s v="Wallet"/>
    <n v="8"/>
    <n v="3.3"/>
    <n v="1737.34"/>
    <n v="1737.34"/>
  </r>
  <r>
    <x v="55"/>
    <s v="2/25/2022"/>
    <x v="55"/>
    <n v="1831"/>
    <x v="1"/>
    <x v="1"/>
    <x v="2"/>
    <s v="West"/>
    <n v="1"/>
    <n v="491.78"/>
    <n v="0.02"/>
    <x v="1"/>
    <s v="Card"/>
    <n v="6"/>
    <n v="1.8"/>
    <n v="481.94"/>
    <n v="481.94"/>
  </r>
  <r>
    <x v="56"/>
    <s v="2/26/2022"/>
    <x v="56"/>
    <n v="1504"/>
    <x v="0"/>
    <x v="0"/>
    <x v="1"/>
    <s v="East"/>
    <n v="2"/>
    <n v="204.07"/>
    <n v="0.26"/>
    <x v="2"/>
    <s v="COD"/>
    <n v="8"/>
    <n v="1"/>
    <n v="302.02"/>
    <n v="302.02"/>
  </r>
  <r>
    <x v="57"/>
    <s v="2/27/2022"/>
    <x v="57"/>
    <n v="1130"/>
    <x v="2"/>
    <x v="2"/>
    <x v="0"/>
    <s v="South"/>
    <n v="4"/>
    <n v="589.62"/>
    <n v="0.19"/>
    <x v="2"/>
    <s v="COD"/>
    <n v="9"/>
    <n v="4"/>
    <n v="1910.37"/>
    <n v="1910.37"/>
  </r>
  <r>
    <x v="58"/>
    <s v="2/28/2022"/>
    <x v="58"/>
    <n v="1484"/>
    <x v="3"/>
    <x v="3"/>
    <x v="3"/>
    <s v="North"/>
    <n v="7"/>
    <n v="429.54"/>
    <n v="7.0000000000000007E-2"/>
    <x v="0"/>
    <s v="Wallet"/>
    <n v="9"/>
    <n v="1.6"/>
    <n v="2796.31"/>
    <n v="2796.31"/>
  </r>
  <r>
    <x v="59"/>
    <d v="2022-01-03T00:00:00"/>
    <x v="59"/>
    <n v="1818"/>
    <x v="1"/>
    <x v="1"/>
    <x v="0"/>
    <s v="South"/>
    <n v="2"/>
    <n v="51.53"/>
    <n v="0.19"/>
    <x v="0"/>
    <s v="Wallet"/>
    <n v="11"/>
    <n v="4.8"/>
    <n v="83.48"/>
    <n v="83.48"/>
  </r>
  <r>
    <x v="60"/>
    <d v="2022-02-03T00:00:00"/>
    <x v="60"/>
    <n v="1646"/>
    <x v="1"/>
    <x v="1"/>
    <x v="3"/>
    <s v="North"/>
    <n v="5"/>
    <n v="35.57"/>
    <n v="0.06"/>
    <x v="1"/>
    <s v="Card"/>
    <n v="6"/>
    <n v="3.4"/>
    <n v="167.18"/>
    <n v="167.18"/>
  </r>
  <r>
    <x v="61"/>
    <d v="2022-03-03T00:00:00"/>
    <x v="61"/>
    <n v="1020"/>
    <x v="1"/>
    <x v="1"/>
    <x v="1"/>
    <s v="East"/>
    <n v="7"/>
    <n v="113.52"/>
    <n v="0.15"/>
    <x v="2"/>
    <s v="COD"/>
    <n v="8"/>
    <n v="1.3"/>
    <n v="675.44"/>
    <n v="675.44"/>
  </r>
  <r>
    <x v="62"/>
    <d v="2022-04-03T00:00:00"/>
    <x v="62"/>
    <n v="1840"/>
    <x v="3"/>
    <x v="3"/>
    <x v="2"/>
    <s v="West"/>
    <n v="1"/>
    <n v="440.8"/>
    <n v="0.28000000000000003"/>
    <x v="2"/>
    <s v="COD"/>
    <n v="2"/>
    <n v="1.9"/>
    <n v="317.38"/>
    <n v="317.38"/>
  </r>
  <r>
    <x v="63"/>
    <d v="2022-05-03T00:00:00"/>
    <x v="63"/>
    <n v="1166"/>
    <x v="2"/>
    <x v="2"/>
    <x v="1"/>
    <s v="East"/>
    <n v="6"/>
    <n v="122.49"/>
    <n v="0.16"/>
    <x v="2"/>
    <s v="COD"/>
    <n v="8"/>
    <n v="3.4"/>
    <n v="617.35"/>
    <n v="617.35"/>
  </r>
  <r>
    <x v="64"/>
    <d v="2022-06-03T00:00:00"/>
    <x v="64"/>
    <n v="1273"/>
    <x v="2"/>
    <x v="2"/>
    <x v="0"/>
    <s v="South"/>
    <n v="6"/>
    <n v="314.22000000000003"/>
    <n v="0.05"/>
    <x v="0"/>
    <s v="Wallet"/>
    <n v="3"/>
    <n v="2.4"/>
    <n v="1791.05"/>
    <n v="1791.05"/>
  </r>
  <r>
    <x v="65"/>
    <d v="2022-07-03T00:00:00"/>
    <x v="65"/>
    <n v="1387"/>
    <x v="3"/>
    <x v="3"/>
    <x v="0"/>
    <s v="South"/>
    <n v="4"/>
    <n v="69.56"/>
    <n v="0.25"/>
    <x v="0"/>
    <s v="Wallet"/>
    <n v="1"/>
    <n v="3.1"/>
    <n v="208.68"/>
    <n v="208.68"/>
  </r>
  <r>
    <x v="66"/>
    <d v="2022-08-03T00:00:00"/>
    <x v="66"/>
    <n v="1600"/>
    <x v="3"/>
    <x v="3"/>
    <x v="3"/>
    <s v="North"/>
    <n v="6"/>
    <n v="553.72"/>
    <n v="7.0000000000000007E-2"/>
    <x v="1"/>
    <s v="Card"/>
    <n v="7"/>
    <n v="4.2"/>
    <n v="3089.76"/>
    <n v="3089.76"/>
  </r>
  <r>
    <x v="67"/>
    <d v="2022-09-03T00:00:00"/>
    <x v="67"/>
    <n v="1315"/>
    <x v="0"/>
    <x v="0"/>
    <x v="1"/>
    <s v="East"/>
    <n v="7"/>
    <n v="216.22"/>
    <n v="0.26"/>
    <x v="1"/>
    <s v="Card"/>
    <n v="1"/>
    <n v="4.2"/>
    <n v="1120.02"/>
    <n v="1120.02"/>
  </r>
  <r>
    <x v="68"/>
    <d v="2022-10-03T00:00:00"/>
    <x v="68"/>
    <n v="1013"/>
    <x v="3"/>
    <x v="3"/>
    <x v="3"/>
    <s v="North"/>
    <n v="4"/>
    <n v="546.26"/>
    <n v="0.17"/>
    <x v="2"/>
    <s v="COD"/>
    <n v="11"/>
    <n v="3.8"/>
    <n v="1813.58"/>
    <n v="1813.58"/>
  </r>
  <r>
    <x v="69"/>
    <d v="2022-11-03T00:00:00"/>
    <x v="69"/>
    <n v="1241"/>
    <x v="0"/>
    <x v="0"/>
    <x v="1"/>
    <s v="East"/>
    <n v="7"/>
    <n v="567.75"/>
    <n v="0.16"/>
    <x v="1"/>
    <s v="Card"/>
    <n v="1"/>
    <n v="4.5"/>
    <n v="3338.37"/>
    <n v="3338.37"/>
  </r>
  <r>
    <x v="70"/>
    <d v="2022-12-03T00:00:00"/>
    <x v="70"/>
    <n v="1776"/>
    <x v="3"/>
    <x v="3"/>
    <x v="0"/>
    <s v="South"/>
    <n v="1"/>
    <n v="18.59"/>
    <n v="0.3"/>
    <x v="1"/>
    <s v="Card"/>
    <n v="1"/>
    <n v="1.8"/>
    <n v="13.01"/>
    <n v="13.01"/>
  </r>
  <r>
    <x v="71"/>
    <s v="3/13/2022"/>
    <x v="71"/>
    <n v="1345"/>
    <x v="2"/>
    <x v="2"/>
    <x v="3"/>
    <s v="North"/>
    <n v="3"/>
    <n v="286.52"/>
    <n v="0.25"/>
    <x v="1"/>
    <s v="Card"/>
    <n v="4"/>
    <n v="1.7"/>
    <n v="644.66999999999996"/>
    <n v="644.66999999999996"/>
  </r>
  <r>
    <x v="72"/>
    <s v="3/14/2022"/>
    <x v="72"/>
    <n v="1564"/>
    <x v="2"/>
    <x v="2"/>
    <x v="3"/>
    <s v="North"/>
    <n v="3"/>
    <n v="29.42"/>
    <n v="0.01"/>
    <x v="0"/>
    <s v="Wallet"/>
    <n v="4"/>
    <n v="4.2"/>
    <n v="87.38"/>
    <n v="87.38"/>
  </r>
  <r>
    <x v="73"/>
    <s v="3/15/2022"/>
    <x v="73"/>
    <n v="1897"/>
    <x v="3"/>
    <x v="3"/>
    <x v="1"/>
    <s v="East"/>
    <n v="2"/>
    <n v="546.59"/>
    <n v="0.1"/>
    <x v="1"/>
    <s v="Card"/>
    <n v="10"/>
    <n v="2.2999999999999998"/>
    <n v="983.86"/>
    <n v="983.86"/>
  </r>
  <r>
    <x v="74"/>
    <s v="3/16/2022"/>
    <x v="74"/>
    <n v="1339"/>
    <x v="1"/>
    <x v="1"/>
    <x v="2"/>
    <s v="West"/>
    <n v="1"/>
    <n v="318.27"/>
    <n v="0.3"/>
    <x v="2"/>
    <s v="COD"/>
    <n v="11"/>
    <n v="3"/>
    <n v="222.79"/>
    <n v="222.79"/>
  </r>
  <r>
    <x v="75"/>
    <s v="3/17/2022"/>
    <x v="75"/>
    <n v="1091"/>
    <x v="2"/>
    <x v="2"/>
    <x v="1"/>
    <s v="East"/>
    <n v="6"/>
    <n v="58.84"/>
    <n v="0.01"/>
    <x v="1"/>
    <s v="Card"/>
    <n v="6"/>
    <n v="4"/>
    <n v="349.51"/>
    <n v="349.51"/>
  </r>
  <r>
    <x v="76"/>
    <s v="3/18/2022"/>
    <x v="76"/>
    <n v="1366"/>
    <x v="1"/>
    <x v="1"/>
    <x v="2"/>
    <s v="West"/>
    <n v="1"/>
    <n v="79.510000000000005"/>
    <n v="0.19"/>
    <x v="1"/>
    <s v="Card"/>
    <n v="10"/>
    <n v="2.6"/>
    <n v="64.400000000000006"/>
    <n v="64.400000000000006"/>
  </r>
  <r>
    <x v="77"/>
    <s v="3/19/2022"/>
    <x v="77"/>
    <n v="1955"/>
    <x v="0"/>
    <x v="0"/>
    <x v="1"/>
    <s v="East"/>
    <n v="5"/>
    <n v="239.35"/>
    <n v="0.25"/>
    <x v="1"/>
    <s v="Card"/>
    <n v="3"/>
    <n v="1.5"/>
    <n v="897.56"/>
    <n v="897.56"/>
  </r>
  <r>
    <x v="78"/>
    <s v="3/20/2022"/>
    <x v="78"/>
    <n v="1454"/>
    <x v="1"/>
    <x v="1"/>
    <x v="0"/>
    <s v="South"/>
    <n v="3"/>
    <n v="565.04"/>
    <n v="0.22"/>
    <x v="1"/>
    <s v="Card"/>
    <n v="10"/>
    <n v="3.7"/>
    <n v="1322.19"/>
    <n v="1322.19"/>
  </r>
  <r>
    <x v="79"/>
    <s v="3/21/2022"/>
    <x v="79"/>
    <n v="1427"/>
    <x v="1"/>
    <x v="1"/>
    <x v="3"/>
    <s v="North"/>
    <n v="6"/>
    <n v="420.35"/>
    <n v="0.27"/>
    <x v="0"/>
    <s v="Wallet"/>
    <n v="6"/>
    <n v="4.3"/>
    <n v="1841.13"/>
    <n v="1841.13"/>
  </r>
  <r>
    <x v="80"/>
    <s v="3/22/2022"/>
    <x v="80"/>
    <n v="1508"/>
    <x v="1"/>
    <x v="1"/>
    <x v="1"/>
    <s v="East"/>
    <n v="7"/>
    <n v="522.55999999999995"/>
    <n v="0.25"/>
    <x v="0"/>
    <s v="Wallet"/>
    <n v="7"/>
    <n v="1.1000000000000001"/>
    <n v="2743.44"/>
    <n v="2743.44"/>
  </r>
  <r>
    <x v="81"/>
    <s v="3/23/2022"/>
    <x v="81"/>
    <n v="1775"/>
    <x v="2"/>
    <x v="2"/>
    <x v="0"/>
    <s v="South"/>
    <n v="7"/>
    <n v="229.38"/>
    <n v="0.24"/>
    <x v="2"/>
    <s v="COD"/>
    <n v="11"/>
    <n v="3.3"/>
    <n v="1220.3"/>
    <n v="1220.3"/>
  </r>
  <r>
    <x v="82"/>
    <s v="3/24/2022"/>
    <x v="82"/>
    <n v="1942"/>
    <x v="1"/>
    <x v="1"/>
    <x v="1"/>
    <s v="East"/>
    <n v="3"/>
    <n v="40.28"/>
    <n v="0.28999999999999998"/>
    <x v="1"/>
    <s v="Card"/>
    <n v="1"/>
    <n v="2.9"/>
    <n v="85.8"/>
    <n v="85.8"/>
  </r>
  <r>
    <x v="83"/>
    <s v="3/25/2022"/>
    <x v="83"/>
    <n v="1034"/>
    <x v="1"/>
    <x v="1"/>
    <x v="3"/>
    <s v="North"/>
    <n v="1"/>
    <n v="584.98"/>
    <n v="0.23"/>
    <x v="2"/>
    <s v="COD"/>
    <n v="6"/>
    <n v="2"/>
    <n v="450.43"/>
    <n v="450.43"/>
  </r>
  <r>
    <x v="84"/>
    <s v="3/26/2022"/>
    <x v="84"/>
    <n v="1205"/>
    <x v="2"/>
    <x v="2"/>
    <x v="1"/>
    <s v="East"/>
    <n v="6"/>
    <n v="25.05"/>
    <n v="0.14000000000000001"/>
    <x v="1"/>
    <s v="Card"/>
    <n v="10"/>
    <n v="1.6"/>
    <n v="129.26"/>
    <n v="129.26"/>
  </r>
  <r>
    <x v="85"/>
    <s v="3/27/2022"/>
    <x v="85"/>
    <n v="1080"/>
    <x v="3"/>
    <x v="3"/>
    <x v="2"/>
    <s v="West"/>
    <n v="2"/>
    <n v="569.38"/>
    <n v="0.17"/>
    <x v="1"/>
    <s v="Card"/>
    <n v="1"/>
    <n v="1.8"/>
    <n v="945.17"/>
    <n v="945.17"/>
  </r>
  <r>
    <x v="86"/>
    <s v="3/28/2022"/>
    <x v="86"/>
    <n v="1931"/>
    <x v="1"/>
    <x v="1"/>
    <x v="3"/>
    <s v="North"/>
    <n v="7"/>
    <n v="230.68"/>
    <n v="0.25"/>
    <x v="2"/>
    <s v="COD"/>
    <n v="7"/>
    <n v="3.9"/>
    <n v="1211.07"/>
    <n v="1211.07"/>
  </r>
  <r>
    <x v="87"/>
    <s v="3/29/2022"/>
    <x v="87"/>
    <n v="1561"/>
    <x v="3"/>
    <x v="3"/>
    <x v="2"/>
    <s v="West"/>
    <n v="1"/>
    <n v="20.9"/>
    <n v="0.31"/>
    <x v="2"/>
    <s v="COD"/>
    <n v="10"/>
    <n v="3.1"/>
    <n v="14.42"/>
    <n v="14.42"/>
  </r>
  <r>
    <x v="88"/>
    <s v="3/30/2022"/>
    <x v="88"/>
    <n v="1871"/>
    <x v="0"/>
    <x v="0"/>
    <x v="0"/>
    <s v="South"/>
    <n v="2"/>
    <n v="418.16"/>
    <n v="0.1"/>
    <x v="1"/>
    <s v="Card"/>
    <n v="5"/>
    <n v="4.9000000000000004"/>
    <n v="752.69"/>
    <n v="752.69"/>
  </r>
  <r>
    <x v="89"/>
    <s v="3/31/2022"/>
    <x v="89"/>
    <n v="1387"/>
    <x v="2"/>
    <x v="2"/>
    <x v="0"/>
    <s v="South"/>
    <n v="6"/>
    <n v="588.62"/>
    <n v="0.12"/>
    <x v="1"/>
    <s v="Card"/>
    <n v="10"/>
    <n v="2"/>
    <n v="3107.91"/>
    <n v="3107.91"/>
  </r>
  <r>
    <x v="90"/>
    <d v="2022-01-04T00:00:00"/>
    <x v="90"/>
    <n v="1001"/>
    <x v="3"/>
    <x v="3"/>
    <x v="1"/>
    <s v="East"/>
    <n v="3"/>
    <n v="579.89"/>
    <n v="0.33"/>
    <x v="0"/>
    <s v="Wallet"/>
    <n v="4"/>
    <n v="4.8"/>
    <n v="1165.58"/>
    <n v="1165.58"/>
  </r>
  <r>
    <x v="91"/>
    <d v="2022-02-04T00:00:00"/>
    <x v="91"/>
    <n v="1389"/>
    <x v="1"/>
    <x v="1"/>
    <x v="2"/>
    <s v="West"/>
    <n v="5"/>
    <n v="109.15"/>
    <n v="0.2"/>
    <x v="1"/>
    <s v="Card"/>
    <n v="1"/>
    <n v="3.1"/>
    <n v="436.6"/>
    <n v="436.6"/>
  </r>
  <r>
    <x v="92"/>
    <d v="2022-03-04T00:00:00"/>
    <x v="92"/>
    <n v="1565"/>
    <x v="0"/>
    <x v="0"/>
    <x v="2"/>
    <s v="West"/>
    <n v="4"/>
    <n v="121.03"/>
    <n v="0.06"/>
    <x v="0"/>
    <s v="Wallet"/>
    <n v="9"/>
    <n v="1.6"/>
    <n v="455.07"/>
    <n v="455.07"/>
  </r>
  <r>
    <x v="93"/>
    <d v="2022-04-04T00:00:00"/>
    <x v="93"/>
    <n v="1105"/>
    <x v="2"/>
    <x v="2"/>
    <x v="3"/>
    <s v="North"/>
    <n v="3"/>
    <n v="345.84"/>
    <n v="0.23"/>
    <x v="0"/>
    <s v="Wallet"/>
    <n v="7"/>
    <n v="1.6"/>
    <n v="798.89"/>
    <n v="798.89"/>
  </r>
  <r>
    <x v="94"/>
    <d v="2022-05-04T00:00:00"/>
    <x v="94"/>
    <n v="1771"/>
    <x v="3"/>
    <x v="3"/>
    <x v="2"/>
    <s v="West"/>
    <n v="2"/>
    <n v="387.82"/>
    <n v="0.35"/>
    <x v="2"/>
    <s v="COD"/>
    <n v="2"/>
    <n v="3.4"/>
    <n v="504.17"/>
    <n v="504.17"/>
  </r>
  <r>
    <x v="95"/>
    <d v="2022-06-04T00:00:00"/>
    <x v="95"/>
    <n v="1821"/>
    <x v="1"/>
    <x v="1"/>
    <x v="2"/>
    <s v="West"/>
    <n v="1"/>
    <n v="447.56"/>
    <n v="0.28999999999999998"/>
    <x v="1"/>
    <s v="Card"/>
    <n v="4"/>
    <n v="4.3"/>
    <n v="317.77"/>
    <n v="317.77"/>
  </r>
  <r>
    <x v="96"/>
    <d v="2022-07-04T00:00:00"/>
    <x v="96"/>
    <n v="1476"/>
    <x v="2"/>
    <x v="2"/>
    <x v="3"/>
    <s v="North"/>
    <n v="7"/>
    <n v="120.91"/>
    <n v="0.26"/>
    <x v="2"/>
    <s v="COD"/>
    <n v="4"/>
    <n v="4"/>
    <n v="626.30999999999995"/>
    <n v="626.30999999999995"/>
  </r>
  <r>
    <x v="97"/>
    <d v="2022-08-04T00:00:00"/>
    <x v="97"/>
    <n v="1702"/>
    <x v="2"/>
    <x v="2"/>
    <x v="3"/>
    <s v="North"/>
    <n v="6"/>
    <n v="576.02"/>
    <n v="7.0000000000000007E-2"/>
    <x v="1"/>
    <s v="Card"/>
    <n v="8"/>
    <n v="3.6"/>
    <n v="3214.19"/>
    <n v="3214.19"/>
  </r>
  <r>
    <x v="98"/>
    <d v="2022-09-04T00:00:00"/>
    <x v="98"/>
    <n v="1401"/>
    <x v="3"/>
    <x v="3"/>
    <x v="2"/>
    <s v="West"/>
    <n v="3"/>
    <n v="388.66"/>
    <n v="0.31"/>
    <x v="1"/>
    <s v="Card"/>
    <n v="2"/>
    <n v="1.7"/>
    <n v="804.53"/>
    <n v="804.53"/>
  </r>
  <r>
    <x v="99"/>
    <d v="2022-10-04T00:00:00"/>
    <x v="99"/>
    <n v="1729"/>
    <x v="3"/>
    <x v="3"/>
    <x v="1"/>
    <s v="East"/>
    <n v="7"/>
    <n v="510.52"/>
    <n v="0.18"/>
    <x v="2"/>
    <s v="COD"/>
    <n v="11"/>
    <n v="1.4"/>
    <n v="2930.38"/>
    <n v="2930.38"/>
  </r>
  <r>
    <x v="100"/>
    <d v="2022-11-04T00:00:00"/>
    <x v="100"/>
    <n v="1555"/>
    <x v="2"/>
    <x v="2"/>
    <x v="3"/>
    <s v="North"/>
    <n v="7"/>
    <n v="330.94"/>
    <n v="0.31"/>
    <x v="1"/>
    <s v="Card"/>
    <n v="5"/>
    <n v="1"/>
    <n v="1598.44"/>
    <n v="1598.44"/>
  </r>
  <r>
    <x v="101"/>
    <d v="2022-12-04T00:00:00"/>
    <x v="101"/>
    <n v="1161"/>
    <x v="1"/>
    <x v="1"/>
    <x v="3"/>
    <s v="North"/>
    <n v="5"/>
    <n v="257.35000000000002"/>
    <n v="0.12"/>
    <x v="1"/>
    <s v="Card"/>
    <n v="10"/>
    <n v="1.4"/>
    <n v="1132.3399999999999"/>
    <n v="1132.3399999999999"/>
  </r>
  <r>
    <x v="102"/>
    <s v="4/13/2022"/>
    <x v="102"/>
    <n v="1201"/>
    <x v="1"/>
    <x v="1"/>
    <x v="2"/>
    <s v="West"/>
    <n v="6"/>
    <n v="586.65"/>
    <n v="0.02"/>
    <x v="2"/>
    <s v="COD"/>
    <n v="8"/>
    <n v="4.0999999999999996"/>
    <n v="3449.5"/>
    <n v="3449.5"/>
  </r>
  <r>
    <x v="103"/>
    <s v="4/14/2022"/>
    <x v="103"/>
    <n v="1957"/>
    <x v="3"/>
    <x v="3"/>
    <x v="2"/>
    <s v="West"/>
    <n v="2"/>
    <n v="355.54"/>
    <n v="0.17"/>
    <x v="2"/>
    <s v="COD"/>
    <n v="6"/>
    <n v="4.5999999999999996"/>
    <n v="590.20000000000005"/>
    <n v="590.20000000000005"/>
  </r>
  <r>
    <x v="104"/>
    <s v="4/15/2022"/>
    <x v="104"/>
    <n v="1995"/>
    <x v="2"/>
    <x v="2"/>
    <x v="3"/>
    <s v="North"/>
    <n v="6"/>
    <n v="522.12"/>
    <n v="0.09"/>
    <x v="1"/>
    <s v="Card"/>
    <n v="4"/>
    <n v="2"/>
    <n v="2850.78"/>
    <n v="2850.78"/>
  </r>
  <r>
    <x v="105"/>
    <s v="4/16/2022"/>
    <x v="105"/>
    <n v="1269"/>
    <x v="0"/>
    <x v="0"/>
    <x v="2"/>
    <s v="West"/>
    <n v="6"/>
    <n v="572.67999999999995"/>
    <n v="0.25"/>
    <x v="1"/>
    <s v="Card"/>
    <n v="5"/>
    <n v="4.2"/>
    <n v="2577.06"/>
    <n v="2577.06"/>
  </r>
  <r>
    <x v="106"/>
    <s v="4/17/2022"/>
    <x v="106"/>
    <n v="1862"/>
    <x v="2"/>
    <x v="2"/>
    <x v="3"/>
    <s v="North"/>
    <n v="1"/>
    <n v="410.08"/>
    <n v="0.33"/>
    <x v="1"/>
    <s v="Card"/>
    <n v="2"/>
    <n v="1.8"/>
    <n v="274.75"/>
    <n v="274.75"/>
  </r>
  <r>
    <x v="107"/>
    <s v="4/18/2022"/>
    <x v="107"/>
    <n v="1815"/>
    <x v="1"/>
    <x v="1"/>
    <x v="1"/>
    <s v="East"/>
    <n v="4"/>
    <n v="336.13"/>
    <n v="0.24"/>
    <x v="1"/>
    <s v="Card"/>
    <n v="5"/>
    <n v="2"/>
    <n v="1021.84"/>
    <n v="1021.84"/>
  </r>
  <r>
    <x v="108"/>
    <s v="4/19/2022"/>
    <x v="108"/>
    <n v="1270"/>
    <x v="2"/>
    <x v="2"/>
    <x v="1"/>
    <s v="East"/>
    <n v="7"/>
    <n v="17.05"/>
    <n v="0.31"/>
    <x v="2"/>
    <s v="COD"/>
    <n v="3"/>
    <n v="1.9"/>
    <n v="82.35"/>
    <n v="82.35"/>
  </r>
  <r>
    <x v="109"/>
    <s v="4/20/2022"/>
    <x v="109"/>
    <n v="1455"/>
    <x v="2"/>
    <x v="2"/>
    <x v="3"/>
    <s v="North"/>
    <n v="2"/>
    <n v="38.409999999999997"/>
    <n v="0.16"/>
    <x v="2"/>
    <s v="COD"/>
    <n v="3"/>
    <n v="1.2"/>
    <n v="64.53"/>
    <n v="64.53"/>
  </r>
  <r>
    <x v="110"/>
    <s v="4/21/2022"/>
    <x v="110"/>
    <n v="1461"/>
    <x v="1"/>
    <x v="1"/>
    <x v="3"/>
    <s v="North"/>
    <n v="1"/>
    <n v="132.5"/>
    <n v="0.27"/>
    <x v="2"/>
    <s v="COD"/>
    <n v="7"/>
    <n v="1.8"/>
    <n v="96.72"/>
    <n v="96.73"/>
  </r>
  <r>
    <x v="111"/>
    <s v="4/22/2022"/>
    <x v="111"/>
    <n v="1726"/>
    <x v="2"/>
    <x v="2"/>
    <x v="0"/>
    <s v="South"/>
    <n v="7"/>
    <n v="123.81"/>
    <n v="0.3"/>
    <x v="1"/>
    <s v="Card"/>
    <n v="3"/>
    <n v="2.5"/>
    <n v="606.66999999999996"/>
    <n v="606.66999999999996"/>
  </r>
  <r>
    <x v="112"/>
    <s v="4/23/2022"/>
    <x v="112"/>
    <n v="1251"/>
    <x v="3"/>
    <x v="3"/>
    <x v="0"/>
    <s v="South"/>
    <n v="4"/>
    <n v="164.03"/>
    <n v="0.25"/>
    <x v="1"/>
    <s v="Card"/>
    <n v="4"/>
    <n v="2.6"/>
    <n v="492.09"/>
    <n v="492.09"/>
  </r>
  <r>
    <x v="113"/>
    <s v="4/24/2022"/>
    <x v="113"/>
    <n v="1701"/>
    <x v="2"/>
    <x v="2"/>
    <x v="2"/>
    <s v="West"/>
    <n v="1"/>
    <n v="193.39"/>
    <n v="0.18"/>
    <x v="1"/>
    <s v="Card"/>
    <n v="7"/>
    <n v="2.2000000000000002"/>
    <n v="158.58000000000001"/>
    <n v="158.58000000000001"/>
  </r>
  <r>
    <x v="114"/>
    <s v="4/25/2022"/>
    <x v="114"/>
    <n v="1295"/>
    <x v="1"/>
    <x v="1"/>
    <x v="2"/>
    <s v="West"/>
    <n v="4"/>
    <n v="225.64"/>
    <n v="0.22"/>
    <x v="1"/>
    <s v="Card"/>
    <n v="3"/>
    <n v="3.1"/>
    <n v="704"/>
    <n v="704"/>
  </r>
  <r>
    <x v="115"/>
    <s v="4/26/2022"/>
    <x v="115"/>
    <n v="1724"/>
    <x v="2"/>
    <x v="2"/>
    <x v="3"/>
    <s v="North"/>
    <n v="4"/>
    <n v="261.01"/>
    <n v="0.25"/>
    <x v="1"/>
    <s v="Card"/>
    <n v="10"/>
    <n v="2.5"/>
    <n v="783.03"/>
    <n v="783.03"/>
  </r>
  <r>
    <x v="116"/>
    <s v="4/27/2022"/>
    <x v="116"/>
    <n v="1719"/>
    <x v="2"/>
    <x v="2"/>
    <x v="3"/>
    <s v="North"/>
    <n v="4"/>
    <n v="72.84"/>
    <n v="0.09"/>
    <x v="1"/>
    <s v="Card"/>
    <n v="10"/>
    <n v="4.9000000000000004"/>
    <n v="265.14"/>
    <n v="265.14"/>
  </r>
  <r>
    <x v="117"/>
    <s v="4/28/2022"/>
    <x v="117"/>
    <n v="1748"/>
    <x v="2"/>
    <x v="2"/>
    <x v="0"/>
    <s v="South"/>
    <n v="1"/>
    <n v="39.78"/>
    <n v="0.28000000000000003"/>
    <x v="1"/>
    <s v="Card"/>
    <n v="2"/>
    <n v="4.2"/>
    <n v="28.64"/>
    <n v="28.64"/>
  </r>
  <r>
    <x v="118"/>
    <s v="4/29/2022"/>
    <x v="118"/>
    <n v="1337"/>
    <x v="1"/>
    <x v="1"/>
    <x v="0"/>
    <s v="South"/>
    <n v="6"/>
    <n v="409.26"/>
    <n v="0.33"/>
    <x v="2"/>
    <s v="COD"/>
    <n v="10"/>
    <n v="4.7"/>
    <n v="1645.23"/>
    <n v="1645.23"/>
  </r>
  <r>
    <x v="119"/>
    <s v="4/30/2022"/>
    <x v="119"/>
    <n v="1878"/>
    <x v="1"/>
    <x v="1"/>
    <x v="3"/>
    <s v="North"/>
    <n v="4"/>
    <n v="329.34"/>
    <n v="0.16"/>
    <x v="2"/>
    <s v="COD"/>
    <n v="7"/>
    <n v="3.2"/>
    <n v="1106.58"/>
    <n v="1106.58"/>
  </r>
  <r>
    <x v="120"/>
    <d v="2022-01-05T00:00:00"/>
    <x v="120"/>
    <n v="1052"/>
    <x v="1"/>
    <x v="1"/>
    <x v="1"/>
    <s v="East"/>
    <n v="6"/>
    <n v="274.82"/>
    <n v="0.25"/>
    <x v="2"/>
    <s v="COD"/>
    <n v="5"/>
    <n v="3.7"/>
    <n v="1236.69"/>
    <n v="1236.69"/>
  </r>
  <r>
    <x v="121"/>
    <d v="2022-02-05T00:00:00"/>
    <x v="121"/>
    <n v="1791"/>
    <x v="1"/>
    <x v="1"/>
    <x v="1"/>
    <s v="East"/>
    <n v="7"/>
    <n v="386.15"/>
    <n v="0.26"/>
    <x v="1"/>
    <s v="Card"/>
    <n v="1"/>
    <n v="1.7"/>
    <n v="2000.26"/>
    <n v="2000.26"/>
  </r>
  <r>
    <x v="122"/>
    <d v="2022-03-05T00:00:00"/>
    <x v="122"/>
    <n v="1921"/>
    <x v="1"/>
    <x v="1"/>
    <x v="2"/>
    <s v="West"/>
    <n v="7"/>
    <n v="499.19"/>
    <n v="0.23"/>
    <x v="0"/>
    <s v="Wallet"/>
    <n v="10"/>
    <n v="4"/>
    <n v="2690.63"/>
    <n v="2690.63"/>
  </r>
  <r>
    <x v="123"/>
    <d v="2022-04-05T00:00:00"/>
    <x v="123"/>
    <n v="1216"/>
    <x v="2"/>
    <x v="2"/>
    <x v="3"/>
    <s v="North"/>
    <n v="2"/>
    <n v="265.2"/>
    <n v="0.19"/>
    <x v="0"/>
    <s v="Wallet"/>
    <n v="8"/>
    <n v="1.9"/>
    <n v="429.62"/>
    <n v="429.62"/>
  </r>
  <r>
    <x v="124"/>
    <d v="2022-05-05T00:00:00"/>
    <x v="124"/>
    <n v="1763"/>
    <x v="1"/>
    <x v="1"/>
    <x v="3"/>
    <s v="North"/>
    <n v="5"/>
    <n v="390.05"/>
    <n v="0.31"/>
    <x v="1"/>
    <s v="Card"/>
    <n v="3"/>
    <n v="1.6"/>
    <n v="1345.67"/>
    <n v="1345.67"/>
  </r>
  <r>
    <x v="125"/>
    <d v="2022-06-05T00:00:00"/>
    <x v="125"/>
    <n v="1187"/>
    <x v="0"/>
    <x v="0"/>
    <x v="2"/>
    <s v="West"/>
    <n v="6"/>
    <n v="572.84"/>
    <n v="0.16"/>
    <x v="2"/>
    <s v="COD"/>
    <n v="11"/>
    <n v="1.2"/>
    <n v="2887.11"/>
    <n v="2887.11"/>
  </r>
  <r>
    <x v="126"/>
    <d v="2022-07-05T00:00:00"/>
    <x v="126"/>
    <n v="1379"/>
    <x v="1"/>
    <x v="1"/>
    <x v="0"/>
    <s v="South"/>
    <n v="7"/>
    <n v="506.18"/>
    <n v="0.02"/>
    <x v="0"/>
    <s v="Wallet"/>
    <n v="7"/>
    <n v="2.9"/>
    <n v="3472.39"/>
    <n v="3472.39"/>
  </r>
  <r>
    <x v="127"/>
    <d v="2022-08-05T00:00:00"/>
    <x v="127"/>
    <n v="1492"/>
    <x v="3"/>
    <x v="3"/>
    <x v="0"/>
    <s v="South"/>
    <n v="5"/>
    <n v="264.20999999999998"/>
    <n v="0.3"/>
    <x v="2"/>
    <s v="COD"/>
    <n v="6"/>
    <n v="2.1"/>
    <n v="924.73"/>
    <n v="924.74"/>
  </r>
  <r>
    <x v="128"/>
    <d v="2022-09-05T00:00:00"/>
    <x v="128"/>
    <n v="1040"/>
    <x v="2"/>
    <x v="2"/>
    <x v="1"/>
    <s v="East"/>
    <n v="4"/>
    <n v="392.16"/>
    <n v="0.24"/>
    <x v="1"/>
    <s v="Card"/>
    <n v="10"/>
    <n v="4.9000000000000004"/>
    <n v="1192.17"/>
    <n v="1192.17"/>
  </r>
  <r>
    <x v="129"/>
    <d v="2022-10-05T00:00:00"/>
    <x v="129"/>
    <n v="1156"/>
    <x v="3"/>
    <x v="3"/>
    <x v="3"/>
    <s v="North"/>
    <n v="5"/>
    <n v="118.59"/>
    <n v="0.3"/>
    <x v="2"/>
    <s v="COD"/>
    <n v="6"/>
    <n v="2"/>
    <n v="415.06"/>
    <n v="415.07"/>
  </r>
  <r>
    <x v="130"/>
    <d v="2022-11-05T00:00:00"/>
    <x v="130"/>
    <n v="1014"/>
    <x v="3"/>
    <x v="3"/>
    <x v="0"/>
    <s v="South"/>
    <n v="5"/>
    <n v="342.91"/>
    <n v="0.05"/>
    <x v="2"/>
    <s v="COD"/>
    <n v="8"/>
    <n v="4.5"/>
    <n v="1628.82"/>
    <n v="1628.82"/>
  </r>
  <r>
    <x v="131"/>
    <d v="2022-12-05T00:00:00"/>
    <x v="131"/>
    <n v="1812"/>
    <x v="1"/>
    <x v="1"/>
    <x v="1"/>
    <s v="East"/>
    <n v="4"/>
    <n v="589.08000000000004"/>
    <n v="0.01"/>
    <x v="1"/>
    <s v="Card"/>
    <n v="4"/>
    <n v="2.2999999999999998"/>
    <n v="2332.7600000000002"/>
    <n v="2332.7600000000002"/>
  </r>
  <r>
    <x v="132"/>
    <s v="5/13/2022"/>
    <x v="132"/>
    <n v="1064"/>
    <x v="0"/>
    <x v="0"/>
    <x v="1"/>
    <s v="East"/>
    <n v="6"/>
    <n v="318.20999999999998"/>
    <n v="0.33"/>
    <x v="0"/>
    <s v="Wallet"/>
    <n v="4"/>
    <n v="4"/>
    <n v="1279.2"/>
    <n v="1279.2"/>
  </r>
  <r>
    <x v="133"/>
    <s v="5/14/2022"/>
    <x v="133"/>
    <n v="1856"/>
    <x v="2"/>
    <x v="2"/>
    <x v="1"/>
    <s v="East"/>
    <n v="4"/>
    <n v="557.66999999999996"/>
    <n v="0.05"/>
    <x v="2"/>
    <s v="COD"/>
    <n v="3"/>
    <n v="3.6"/>
    <n v="2119.15"/>
    <n v="2119.15"/>
  </r>
  <r>
    <x v="134"/>
    <s v="5/15/2022"/>
    <x v="134"/>
    <n v="1838"/>
    <x v="2"/>
    <x v="2"/>
    <x v="0"/>
    <s v="South"/>
    <n v="2"/>
    <n v="253.29"/>
    <n v="0.28000000000000003"/>
    <x v="1"/>
    <s v="Card"/>
    <n v="1"/>
    <n v="3.2"/>
    <n v="364.74"/>
    <n v="364.74"/>
  </r>
  <r>
    <x v="135"/>
    <s v="5/16/2022"/>
    <x v="135"/>
    <n v="1520"/>
    <x v="3"/>
    <x v="3"/>
    <x v="0"/>
    <s v="South"/>
    <n v="3"/>
    <n v="599.32000000000005"/>
    <n v="0.28999999999999998"/>
    <x v="2"/>
    <s v="COD"/>
    <n v="10"/>
    <n v="2.7"/>
    <n v="1276.55"/>
    <n v="1276.55"/>
  </r>
  <r>
    <x v="136"/>
    <s v="5/17/2022"/>
    <x v="136"/>
    <n v="1343"/>
    <x v="3"/>
    <x v="3"/>
    <x v="3"/>
    <s v="North"/>
    <n v="1"/>
    <n v="353.84"/>
    <n v="0.25"/>
    <x v="2"/>
    <s v="COD"/>
    <n v="3"/>
    <n v="3.7"/>
    <n v="265.38"/>
    <n v="265.38"/>
  </r>
  <r>
    <x v="137"/>
    <s v="5/18/2022"/>
    <x v="137"/>
    <n v="1128"/>
    <x v="2"/>
    <x v="2"/>
    <x v="3"/>
    <s v="North"/>
    <n v="4"/>
    <n v="39.729999999999997"/>
    <n v="0.05"/>
    <x v="1"/>
    <s v="Card"/>
    <n v="1"/>
    <n v="2.6"/>
    <n v="150.97"/>
    <n v="150.97"/>
  </r>
  <r>
    <x v="138"/>
    <s v="5/19/2022"/>
    <x v="138"/>
    <n v="1647"/>
    <x v="2"/>
    <x v="2"/>
    <x v="1"/>
    <s v="East"/>
    <n v="4"/>
    <n v="358.25"/>
    <n v="0.23"/>
    <x v="1"/>
    <s v="Card"/>
    <n v="6"/>
    <n v="3.2"/>
    <n v="1103.4100000000001"/>
    <n v="1103.4100000000001"/>
  </r>
  <r>
    <x v="139"/>
    <s v="5/20/2022"/>
    <x v="139"/>
    <n v="1471"/>
    <x v="2"/>
    <x v="2"/>
    <x v="1"/>
    <s v="East"/>
    <n v="5"/>
    <n v="175.63"/>
    <n v="0.31"/>
    <x v="0"/>
    <s v="Wallet"/>
    <n v="8"/>
    <n v="3.4"/>
    <n v="605.91999999999996"/>
    <n v="605.91999999999996"/>
  </r>
  <r>
    <x v="140"/>
    <s v="5/21/2022"/>
    <x v="140"/>
    <n v="1062"/>
    <x v="2"/>
    <x v="2"/>
    <x v="0"/>
    <s v="South"/>
    <n v="2"/>
    <n v="34"/>
    <n v="0.15"/>
    <x v="2"/>
    <s v="COD"/>
    <n v="3"/>
    <n v="2.1"/>
    <n v="57.8"/>
    <n v="57.8"/>
  </r>
  <r>
    <x v="141"/>
    <s v="5/22/2022"/>
    <x v="141"/>
    <n v="1138"/>
    <x v="3"/>
    <x v="3"/>
    <x v="0"/>
    <s v="South"/>
    <n v="7"/>
    <n v="495.2"/>
    <n v="0.14000000000000001"/>
    <x v="1"/>
    <s v="Card"/>
    <n v="4"/>
    <n v="2.4"/>
    <n v="2981.1"/>
    <n v="2981.1"/>
  </r>
  <r>
    <x v="142"/>
    <s v="5/23/2022"/>
    <x v="142"/>
    <n v="1498"/>
    <x v="1"/>
    <x v="1"/>
    <x v="3"/>
    <s v="North"/>
    <n v="7"/>
    <n v="176.3"/>
    <n v="0.16"/>
    <x v="1"/>
    <s v="Card"/>
    <n v="5"/>
    <n v="1.1000000000000001"/>
    <n v="1036.6400000000001"/>
    <n v="1036.6400000000001"/>
  </r>
  <r>
    <x v="143"/>
    <s v="5/24/2022"/>
    <x v="143"/>
    <n v="1592"/>
    <x v="2"/>
    <x v="2"/>
    <x v="3"/>
    <s v="North"/>
    <n v="5"/>
    <n v="480.98"/>
    <n v="0.03"/>
    <x v="2"/>
    <s v="COD"/>
    <n v="7"/>
    <n v="4.4000000000000004"/>
    <n v="2332.75"/>
    <n v="2332.75"/>
  </r>
  <r>
    <x v="144"/>
    <s v="5/25/2022"/>
    <x v="144"/>
    <n v="1391"/>
    <x v="1"/>
    <x v="1"/>
    <x v="2"/>
    <s v="West"/>
    <n v="6"/>
    <n v="183.61"/>
    <n v="0.31"/>
    <x v="2"/>
    <s v="COD"/>
    <n v="11"/>
    <n v="4"/>
    <n v="760.15"/>
    <n v="760.15"/>
  </r>
  <r>
    <x v="145"/>
    <s v="5/26/2022"/>
    <x v="145"/>
    <n v="1674"/>
    <x v="2"/>
    <x v="2"/>
    <x v="3"/>
    <s v="North"/>
    <n v="4"/>
    <n v="128.68"/>
    <n v="0.3"/>
    <x v="1"/>
    <s v="Card"/>
    <n v="6"/>
    <n v="1.7"/>
    <n v="360.3"/>
    <n v="360.3"/>
  </r>
  <r>
    <x v="146"/>
    <s v="5/27/2022"/>
    <x v="146"/>
    <n v="1418"/>
    <x v="2"/>
    <x v="2"/>
    <x v="0"/>
    <s v="South"/>
    <n v="4"/>
    <n v="584.75"/>
    <n v="0.35"/>
    <x v="2"/>
    <s v="COD"/>
    <n v="2"/>
    <n v="2.4"/>
    <n v="1520.35"/>
    <n v="1520.35"/>
  </r>
  <r>
    <x v="147"/>
    <s v="5/28/2022"/>
    <x v="147"/>
    <n v="1288"/>
    <x v="1"/>
    <x v="1"/>
    <x v="1"/>
    <s v="East"/>
    <n v="5"/>
    <n v="226.56"/>
    <n v="0.2"/>
    <x v="1"/>
    <s v="Card"/>
    <n v="7"/>
    <n v="2.7"/>
    <n v="906.24"/>
    <n v="906.24"/>
  </r>
  <r>
    <x v="148"/>
    <s v="5/29/2022"/>
    <x v="148"/>
    <n v="1378"/>
    <x v="0"/>
    <x v="0"/>
    <x v="2"/>
    <s v="West"/>
    <n v="4"/>
    <n v="366.81"/>
    <n v="0.26"/>
    <x v="1"/>
    <s v="Card"/>
    <n v="8"/>
    <n v="2.2999999999999998"/>
    <n v="1085.76"/>
    <n v="1085.76"/>
  </r>
  <r>
    <x v="149"/>
    <s v="5/30/2022"/>
    <x v="149"/>
    <n v="1772"/>
    <x v="3"/>
    <x v="3"/>
    <x v="3"/>
    <s v="North"/>
    <n v="6"/>
    <n v="371.84"/>
    <n v="7.0000000000000007E-2"/>
    <x v="2"/>
    <s v="COD"/>
    <n v="1"/>
    <n v="4.2"/>
    <n v="2074.87"/>
    <n v="2074.87"/>
  </r>
  <r>
    <x v="150"/>
    <s v="5/31/2022"/>
    <x v="150"/>
    <n v="1489"/>
    <x v="2"/>
    <x v="2"/>
    <x v="3"/>
    <s v="North"/>
    <n v="3"/>
    <n v="342.88"/>
    <n v="0.23"/>
    <x v="1"/>
    <s v="Card"/>
    <n v="6"/>
    <n v="3.9"/>
    <n v="792.05"/>
    <n v="792.05"/>
  </r>
  <r>
    <x v="151"/>
    <d v="2022-01-06T00:00:00"/>
    <x v="151"/>
    <n v="1230"/>
    <x v="0"/>
    <x v="0"/>
    <x v="0"/>
    <s v="South"/>
    <n v="1"/>
    <n v="550.1"/>
    <n v="0.23"/>
    <x v="0"/>
    <s v="Wallet"/>
    <n v="11"/>
    <n v="4.0999999999999996"/>
    <n v="423.58"/>
    <n v="423.58"/>
  </r>
  <r>
    <x v="152"/>
    <d v="2022-02-06T00:00:00"/>
    <x v="152"/>
    <n v="1040"/>
    <x v="3"/>
    <x v="3"/>
    <x v="2"/>
    <s v="West"/>
    <n v="1"/>
    <n v="409.55"/>
    <n v="0.32"/>
    <x v="1"/>
    <s v="Card"/>
    <n v="9"/>
    <n v="4.5999999999999996"/>
    <n v="278.49"/>
    <n v="278.49"/>
  </r>
  <r>
    <x v="153"/>
    <d v="2022-03-06T00:00:00"/>
    <x v="153"/>
    <n v="1027"/>
    <x v="3"/>
    <x v="3"/>
    <x v="3"/>
    <s v="North"/>
    <n v="1"/>
    <n v="251.18"/>
    <n v="0.28999999999999998"/>
    <x v="2"/>
    <s v="COD"/>
    <n v="7"/>
    <n v="3.4"/>
    <n v="178.34"/>
    <n v="178.34"/>
  </r>
  <r>
    <x v="154"/>
    <d v="2022-04-06T00:00:00"/>
    <x v="154"/>
    <n v="1134"/>
    <x v="1"/>
    <x v="1"/>
    <x v="1"/>
    <s v="East"/>
    <n v="3"/>
    <n v="519.49"/>
    <n v="0.33"/>
    <x v="1"/>
    <s v="Card"/>
    <n v="5"/>
    <n v="3.5"/>
    <n v="1044.17"/>
    <n v="1044.17"/>
  </r>
  <r>
    <x v="155"/>
    <d v="2022-05-06T00:00:00"/>
    <x v="155"/>
    <n v="1200"/>
    <x v="1"/>
    <x v="1"/>
    <x v="0"/>
    <s v="South"/>
    <n v="4"/>
    <n v="120.92"/>
    <n v="0.3"/>
    <x v="1"/>
    <s v="Card"/>
    <n v="10"/>
    <n v="3.9"/>
    <n v="338.58"/>
    <n v="338.58"/>
  </r>
  <r>
    <x v="156"/>
    <d v="2022-06-06T00:00:00"/>
    <x v="156"/>
    <n v="1839"/>
    <x v="2"/>
    <x v="2"/>
    <x v="2"/>
    <s v="West"/>
    <n v="5"/>
    <n v="333.38"/>
    <n v="0.3"/>
    <x v="2"/>
    <s v="COD"/>
    <n v="11"/>
    <n v="3.7"/>
    <n v="1166.83"/>
    <n v="1166.83"/>
  </r>
  <r>
    <x v="157"/>
    <d v="2022-07-06T00:00:00"/>
    <x v="157"/>
    <n v="1779"/>
    <x v="2"/>
    <x v="2"/>
    <x v="3"/>
    <s v="North"/>
    <n v="7"/>
    <n v="571.07000000000005"/>
    <n v="0.02"/>
    <x v="2"/>
    <s v="COD"/>
    <n v="10"/>
    <n v="4.5"/>
    <n v="3917.54"/>
    <n v="3917.54"/>
  </r>
  <r>
    <x v="158"/>
    <d v="2022-08-06T00:00:00"/>
    <x v="158"/>
    <n v="1929"/>
    <x v="2"/>
    <x v="2"/>
    <x v="3"/>
    <s v="North"/>
    <n v="2"/>
    <n v="380.86"/>
    <n v="0.3"/>
    <x v="2"/>
    <s v="COD"/>
    <n v="9"/>
    <n v="4.0999999999999996"/>
    <n v="533.20000000000005"/>
    <n v="533.20000000000005"/>
  </r>
  <r>
    <x v="159"/>
    <d v="2022-09-06T00:00:00"/>
    <x v="159"/>
    <n v="1032"/>
    <x v="2"/>
    <x v="2"/>
    <x v="2"/>
    <s v="West"/>
    <n v="4"/>
    <n v="492.93"/>
    <n v="0.21"/>
    <x v="2"/>
    <s v="COD"/>
    <n v="2"/>
    <n v="1.5"/>
    <n v="1557.66"/>
    <n v="1557.66"/>
  </r>
  <r>
    <x v="160"/>
    <d v="2022-10-06T00:00:00"/>
    <x v="160"/>
    <n v="1047"/>
    <x v="1"/>
    <x v="1"/>
    <x v="0"/>
    <s v="South"/>
    <n v="3"/>
    <n v="397.33"/>
    <n v="0.13"/>
    <x v="2"/>
    <s v="COD"/>
    <n v="7"/>
    <n v="4.7"/>
    <n v="1037.03"/>
    <n v="1037.03"/>
  </r>
  <r>
    <x v="161"/>
    <d v="2022-11-06T00:00:00"/>
    <x v="161"/>
    <n v="1502"/>
    <x v="3"/>
    <x v="3"/>
    <x v="2"/>
    <s v="West"/>
    <n v="6"/>
    <n v="506.03"/>
    <n v="0.02"/>
    <x v="2"/>
    <s v="COD"/>
    <n v="9"/>
    <n v="3.7"/>
    <n v="2975.46"/>
    <n v="2975.46"/>
  </r>
  <r>
    <x v="162"/>
    <d v="2022-12-06T00:00:00"/>
    <x v="162"/>
    <n v="1406"/>
    <x v="1"/>
    <x v="1"/>
    <x v="2"/>
    <s v="West"/>
    <n v="3"/>
    <n v="567.53"/>
    <n v="0.24"/>
    <x v="2"/>
    <s v="COD"/>
    <n v="2"/>
    <n v="1.5"/>
    <n v="1293.97"/>
    <n v="1293.97"/>
  </r>
  <r>
    <x v="163"/>
    <s v="6/13/2022"/>
    <x v="163"/>
    <n v="1573"/>
    <x v="2"/>
    <x v="2"/>
    <x v="0"/>
    <s v="South"/>
    <n v="7"/>
    <n v="174.66"/>
    <n v="0.11"/>
    <x v="2"/>
    <s v="COD"/>
    <n v="11"/>
    <n v="4.0999999999999996"/>
    <n v="1088.1300000000001"/>
    <n v="1088.1300000000001"/>
  </r>
  <r>
    <x v="164"/>
    <s v="6/14/2022"/>
    <x v="164"/>
    <n v="1727"/>
    <x v="0"/>
    <x v="0"/>
    <x v="3"/>
    <s v="North"/>
    <n v="1"/>
    <n v="114.25"/>
    <n v="0.16"/>
    <x v="2"/>
    <s v="COD"/>
    <n v="10"/>
    <n v="2.4"/>
    <n v="95.97"/>
    <n v="95.97"/>
  </r>
  <r>
    <x v="165"/>
    <s v="6/15/2022"/>
    <x v="165"/>
    <n v="1804"/>
    <x v="0"/>
    <x v="0"/>
    <x v="1"/>
    <s v="East"/>
    <n v="4"/>
    <n v="298.13"/>
    <n v="0.24"/>
    <x v="0"/>
    <s v="Wallet"/>
    <n v="6"/>
    <n v="4.2"/>
    <n v="906.32"/>
    <n v="906.32"/>
  </r>
  <r>
    <x v="166"/>
    <s v="6/16/2022"/>
    <x v="166"/>
    <n v="1098"/>
    <x v="3"/>
    <x v="3"/>
    <x v="0"/>
    <s v="South"/>
    <n v="7"/>
    <n v="425.59"/>
    <n v="0.32"/>
    <x v="1"/>
    <s v="Card"/>
    <n v="9"/>
    <n v="4.8"/>
    <n v="2025.81"/>
    <n v="2025.81"/>
  </r>
  <r>
    <x v="167"/>
    <s v="6/17/2022"/>
    <x v="167"/>
    <n v="1683"/>
    <x v="0"/>
    <x v="0"/>
    <x v="1"/>
    <s v="East"/>
    <n v="1"/>
    <n v="147.91"/>
    <n v="0.28999999999999998"/>
    <x v="2"/>
    <s v="COD"/>
    <n v="3"/>
    <n v="2"/>
    <n v="105.02"/>
    <n v="105.02"/>
  </r>
  <r>
    <x v="168"/>
    <s v="6/18/2022"/>
    <x v="168"/>
    <n v="1871"/>
    <x v="1"/>
    <x v="1"/>
    <x v="3"/>
    <s v="North"/>
    <n v="2"/>
    <n v="17.399999999999999"/>
    <n v="0.16"/>
    <x v="1"/>
    <s v="Card"/>
    <n v="8"/>
    <n v="4.4000000000000004"/>
    <n v="29.23"/>
    <n v="29.23"/>
  </r>
  <r>
    <x v="169"/>
    <s v="6/19/2022"/>
    <x v="169"/>
    <n v="1725"/>
    <x v="0"/>
    <x v="0"/>
    <x v="2"/>
    <s v="West"/>
    <n v="6"/>
    <n v="215.62"/>
    <n v="0.14000000000000001"/>
    <x v="1"/>
    <s v="Card"/>
    <n v="5"/>
    <n v="4.0999999999999996"/>
    <n v="1112.5999999999999"/>
    <n v="1112.5999999999999"/>
  </r>
  <r>
    <x v="170"/>
    <s v="6/20/2022"/>
    <x v="170"/>
    <n v="1986"/>
    <x v="2"/>
    <x v="2"/>
    <x v="1"/>
    <s v="East"/>
    <n v="1"/>
    <n v="581.78"/>
    <n v="0.08"/>
    <x v="1"/>
    <s v="Card"/>
    <n v="7"/>
    <n v="3.7"/>
    <n v="535.24"/>
    <n v="535.24"/>
  </r>
  <r>
    <x v="171"/>
    <s v="6/21/2022"/>
    <x v="171"/>
    <n v="1546"/>
    <x v="1"/>
    <x v="1"/>
    <x v="3"/>
    <s v="North"/>
    <n v="2"/>
    <n v="421.56"/>
    <n v="0.13"/>
    <x v="0"/>
    <s v="Wallet"/>
    <n v="3"/>
    <n v="2.5"/>
    <n v="733.51"/>
    <n v="733.51"/>
  </r>
  <r>
    <x v="172"/>
    <s v="6/22/2022"/>
    <x v="172"/>
    <n v="1960"/>
    <x v="2"/>
    <x v="2"/>
    <x v="3"/>
    <s v="North"/>
    <n v="3"/>
    <n v="249.78"/>
    <n v="0.04"/>
    <x v="2"/>
    <s v="COD"/>
    <n v="8"/>
    <n v="1.4"/>
    <n v="719.37"/>
    <n v="719.37"/>
  </r>
  <r>
    <x v="173"/>
    <s v="6/23/2022"/>
    <x v="173"/>
    <n v="1738"/>
    <x v="2"/>
    <x v="2"/>
    <x v="2"/>
    <s v="West"/>
    <n v="1"/>
    <n v="127.66"/>
    <n v="0.34"/>
    <x v="2"/>
    <s v="COD"/>
    <n v="2"/>
    <n v="2.9"/>
    <n v="84.26"/>
    <n v="84.26"/>
  </r>
  <r>
    <x v="174"/>
    <s v="6/24/2022"/>
    <x v="174"/>
    <n v="1612"/>
    <x v="2"/>
    <x v="2"/>
    <x v="2"/>
    <s v="West"/>
    <n v="1"/>
    <n v="223.31"/>
    <n v="0.2"/>
    <x v="1"/>
    <s v="Card"/>
    <n v="8"/>
    <n v="1.4"/>
    <n v="178.65"/>
    <n v="178.65"/>
  </r>
  <r>
    <x v="175"/>
    <s v="6/25/2022"/>
    <x v="175"/>
    <n v="1942"/>
    <x v="1"/>
    <x v="1"/>
    <x v="3"/>
    <s v="North"/>
    <n v="5"/>
    <n v="114.36"/>
    <n v="0.04"/>
    <x v="2"/>
    <s v="COD"/>
    <n v="2"/>
    <n v="3"/>
    <n v="548.92999999999995"/>
    <n v="548.92999999999995"/>
  </r>
  <r>
    <x v="176"/>
    <s v="6/26/2022"/>
    <x v="176"/>
    <n v="1461"/>
    <x v="3"/>
    <x v="3"/>
    <x v="3"/>
    <s v="North"/>
    <n v="6"/>
    <n v="77.19"/>
    <n v="0.12"/>
    <x v="0"/>
    <s v="Wallet"/>
    <n v="7"/>
    <n v="4.3"/>
    <n v="407.56"/>
    <n v="407.56"/>
  </r>
  <r>
    <x v="177"/>
    <s v="6/27/2022"/>
    <x v="177"/>
    <n v="1642"/>
    <x v="1"/>
    <x v="1"/>
    <x v="1"/>
    <s v="East"/>
    <n v="6"/>
    <n v="545.44000000000005"/>
    <n v="0.19"/>
    <x v="1"/>
    <s v="Card"/>
    <n v="2"/>
    <n v="5"/>
    <n v="2650.84"/>
    <n v="2650.84"/>
  </r>
  <r>
    <x v="178"/>
    <s v="6/28/2022"/>
    <x v="178"/>
    <n v="1768"/>
    <x v="2"/>
    <x v="2"/>
    <x v="3"/>
    <s v="North"/>
    <n v="7"/>
    <n v="598.63"/>
    <n v="0.19"/>
    <x v="1"/>
    <s v="Card"/>
    <n v="7"/>
    <n v="1.8"/>
    <n v="3394.23"/>
    <n v="3394.23"/>
  </r>
  <r>
    <x v="179"/>
    <s v="6/29/2022"/>
    <x v="179"/>
    <n v="1004"/>
    <x v="3"/>
    <x v="3"/>
    <x v="3"/>
    <s v="North"/>
    <n v="3"/>
    <n v="111.01"/>
    <n v="0.01"/>
    <x v="1"/>
    <s v="Card"/>
    <n v="1"/>
    <n v="1.8"/>
    <n v="329.7"/>
    <n v="329.7"/>
  </r>
  <r>
    <x v="180"/>
    <s v="6/30/2022"/>
    <x v="180"/>
    <n v="1217"/>
    <x v="1"/>
    <x v="1"/>
    <x v="1"/>
    <s v="East"/>
    <n v="5"/>
    <n v="46.9"/>
    <n v="0.33"/>
    <x v="2"/>
    <s v="COD"/>
    <n v="6"/>
    <n v="4.2"/>
    <n v="157.11000000000001"/>
    <n v="157.12"/>
  </r>
  <r>
    <x v="181"/>
    <d v="2022-01-07T00:00:00"/>
    <x v="181"/>
    <n v="1502"/>
    <x v="1"/>
    <x v="1"/>
    <x v="0"/>
    <s v="South"/>
    <n v="7"/>
    <n v="207.89"/>
    <n v="0.1"/>
    <x v="2"/>
    <s v="COD"/>
    <n v="10"/>
    <n v="2.9"/>
    <n v="1309.71"/>
    <n v="1309.71"/>
  </r>
  <r>
    <x v="182"/>
    <d v="2022-02-07T00:00:00"/>
    <x v="182"/>
    <n v="1766"/>
    <x v="3"/>
    <x v="3"/>
    <x v="1"/>
    <s v="East"/>
    <n v="2"/>
    <n v="285.07"/>
    <n v="0.01"/>
    <x v="2"/>
    <s v="COD"/>
    <n v="7"/>
    <n v="4.7"/>
    <n v="564.44000000000005"/>
    <n v="564.44000000000005"/>
  </r>
  <r>
    <x v="183"/>
    <d v="2022-03-07T00:00:00"/>
    <x v="183"/>
    <n v="1397"/>
    <x v="2"/>
    <x v="2"/>
    <x v="1"/>
    <s v="East"/>
    <n v="7"/>
    <n v="134.82"/>
    <n v="0.03"/>
    <x v="2"/>
    <s v="COD"/>
    <n v="4"/>
    <n v="4.0999999999999996"/>
    <n v="915.43"/>
    <n v="915.43"/>
  </r>
  <r>
    <x v="184"/>
    <d v="2022-04-07T00:00:00"/>
    <x v="184"/>
    <n v="1870"/>
    <x v="2"/>
    <x v="2"/>
    <x v="2"/>
    <s v="West"/>
    <n v="2"/>
    <n v="191.33"/>
    <n v="0.2"/>
    <x v="1"/>
    <s v="Card"/>
    <n v="11"/>
    <n v="3.9"/>
    <n v="306.13"/>
    <n v="306.13"/>
  </r>
  <r>
    <x v="185"/>
    <d v="2022-05-07T00:00:00"/>
    <x v="185"/>
    <n v="1794"/>
    <x v="0"/>
    <x v="0"/>
    <x v="1"/>
    <s v="East"/>
    <n v="3"/>
    <n v="132.51"/>
    <n v="0.05"/>
    <x v="2"/>
    <s v="COD"/>
    <n v="11"/>
    <n v="1.4"/>
    <n v="377.65"/>
    <n v="377.65"/>
  </r>
  <r>
    <x v="186"/>
    <d v="2022-06-07T00:00:00"/>
    <x v="186"/>
    <n v="1392"/>
    <x v="2"/>
    <x v="2"/>
    <x v="3"/>
    <s v="North"/>
    <n v="6"/>
    <n v="467.94"/>
    <n v="0.01"/>
    <x v="1"/>
    <s v="Card"/>
    <n v="1"/>
    <n v="1.1000000000000001"/>
    <n v="2779.56"/>
    <n v="2779.56"/>
  </r>
  <r>
    <x v="187"/>
    <d v="2022-07-07T00:00:00"/>
    <x v="187"/>
    <n v="1206"/>
    <x v="1"/>
    <x v="1"/>
    <x v="3"/>
    <s v="North"/>
    <n v="2"/>
    <n v="431.86"/>
    <n v="0.13"/>
    <x v="1"/>
    <s v="Card"/>
    <n v="6"/>
    <n v="2.2999999999999998"/>
    <n v="751.44"/>
    <n v="751.44"/>
  </r>
  <r>
    <x v="188"/>
    <d v="2022-08-07T00:00:00"/>
    <x v="188"/>
    <n v="1014"/>
    <x v="0"/>
    <x v="0"/>
    <x v="3"/>
    <s v="North"/>
    <n v="3"/>
    <n v="386.45"/>
    <n v="0.22"/>
    <x v="2"/>
    <s v="COD"/>
    <n v="4"/>
    <n v="1.9"/>
    <n v="904.29"/>
    <n v="904.29"/>
  </r>
  <r>
    <x v="189"/>
    <d v="2022-09-07T00:00:00"/>
    <x v="189"/>
    <n v="1857"/>
    <x v="3"/>
    <x v="3"/>
    <x v="0"/>
    <s v="South"/>
    <n v="7"/>
    <n v="241.52"/>
    <n v="0.04"/>
    <x v="0"/>
    <s v="Wallet"/>
    <n v="3"/>
    <n v="3.8"/>
    <n v="1623.01"/>
    <n v="1623.01"/>
  </r>
  <r>
    <x v="190"/>
    <d v="2022-10-07T00:00:00"/>
    <x v="190"/>
    <n v="1553"/>
    <x v="2"/>
    <x v="2"/>
    <x v="3"/>
    <s v="North"/>
    <n v="2"/>
    <n v="546.79"/>
    <n v="0.11"/>
    <x v="2"/>
    <s v="COD"/>
    <n v="4"/>
    <n v="2.8"/>
    <n v="973.29"/>
    <n v="973.29"/>
  </r>
  <r>
    <x v="191"/>
    <d v="2022-11-07T00:00:00"/>
    <x v="191"/>
    <n v="1891"/>
    <x v="2"/>
    <x v="2"/>
    <x v="0"/>
    <s v="South"/>
    <n v="4"/>
    <n v="582.17999999999995"/>
    <n v="0.15"/>
    <x v="2"/>
    <s v="COD"/>
    <n v="6"/>
    <n v="3.1"/>
    <n v="1979.41"/>
    <n v="1979.41"/>
  </r>
  <r>
    <x v="192"/>
    <d v="2022-12-07T00:00:00"/>
    <x v="192"/>
    <n v="1460"/>
    <x v="2"/>
    <x v="2"/>
    <x v="3"/>
    <s v="North"/>
    <n v="1"/>
    <n v="116.58"/>
    <n v="0.06"/>
    <x v="1"/>
    <s v="Card"/>
    <n v="5"/>
    <n v="4.3"/>
    <n v="109.59"/>
    <n v="109.59"/>
  </r>
  <r>
    <x v="193"/>
    <s v="7/13/2022"/>
    <x v="193"/>
    <n v="1690"/>
    <x v="1"/>
    <x v="1"/>
    <x v="1"/>
    <s v="East"/>
    <n v="7"/>
    <n v="145.46"/>
    <n v="0.18"/>
    <x v="1"/>
    <s v="Card"/>
    <n v="2"/>
    <n v="2.9"/>
    <n v="834.94"/>
    <n v="834.94"/>
  </r>
  <r>
    <x v="194"/>
    <s v="7/14/2022"/>
    <x v="194"/>
    <n v="1574"/>
    <x v="1"/>
    <x v="1"/>
    <x v="2"/>
    <s v="West"/>
    <n v="6"/>
    <n v="322.49"/>
    <n v="0.03"/>
    <x v="1"/>
    <s v="Card"/>
    <n v="2"/>
    <n v="3.2"/>
    <n v="1876.89"/>
    <n v="1876.89"/>
  </r>
  <r>
    <x v="195"/>
    <s v="7/15/2022"/>
    <x v="195"/>
    <n v="1863"/>
    <x v="2"/>
    <x v="2"/>
    <x v="3"/>
    <s v="North"/>
    <n v="7"/>
    <n v="68.38"/>
    <n v="0.02"/>
    <x v="0"/>
    <s v="Wallet"/>
    <n v="3"/>
    <n v="4.4000000000000004"/>
    <n v="469.09"/>
    <n v="469.09"/>
  </r>
  <r>
    <x v="196"/>
    <s v="7/16/2022"/>
    <x v="196"/>
    <n v="1742"/>
    <x v="0"/>
    <x v="0"/>
    <x v="0"/>
    <s v="South"/>
    <n v="4"/>
    <n v="270.32"/>
    <n v="0.18"/>
    <x v="0"/>
    <s v="Wallet"/>
    <n v="11"/>
    <n v="2.7"/>
    <n v="886.65"/>
    <n v="886.65"/>
  </r>
  <r>
    <x v="197"/>
    <s v="7/17/2022"/>
    <x v="197"/>
    <n v="1240"/>
    <x v="1"/>
    <x v="1"/>
    <x v="0"/>
    <s v="South"/>
    <n v="3"/>
    <n v="355.35"/>
    <n v="0.09"/>
    <x v="0"/>
    <s v="Wallet"/>
    <n v="6"/>
    <n v="1.3"/>
    <n v="970.11"/>
    <n v="970.11"/>
  </r>
  <r>
    <x v="198"/>
    <s v="7/18/2022"/>
    <x v="198"/>
    <n v="1563"/>
    <x v="2"/>
    <x v="2"/>
    <x v="2"/>
    <s v="West"/>
    <n v="3"/>
    <n v="320.41000000000003"/>
    <n v="0.03"/>
    <x v="1"/>
    <s v="Card"/>
    <n v="1"/>
    <n v="3.1"/>
    <n v="932.39"/>
    <n v="932.39"/>
  </r>
  <r>
    <x v="199"/>
    <s v="7/19/2022"/>
    <x v="199"/>
    <n v="1095"/>
    <x v="1"/>
    <x v="1"/>
    <x v="3"/>
    <s v="North"/>
    <n v="7"/>
    <n v="208.58"/>
    <n v="0.15"/>
    <x v="2"/>
    <s v="COD"/>
    <n v="11"/>
    <n v="3.3"/>
    <n v="1241.05"/>
    <n v="1241.05"/>
  </r>
  <r>
    <x v="200"/>
    <s v="7/20/2022"/>
    <x v="200"/>
    <n v="1899"/>
    <x v="3"/>
    <x v="3"/>
    <x v="1"/>
    <s v="East"/>
    <n v="4"/>
    <n v="332.33"/>
    <n v="0.32"/>
    <x v="2"/>
    <s v="COD"/>
    <n v="7"/>
    <n v="3"/>
    <n v="903.94"/>
    <n v="903.94"/>
  </r>
  <r>
    <x v="201"/>
    <s v="7/21/2022"/>
    <x v="201"/>
    <n v="1733"/>
    <x v="2"/>
    <x v="2"/>
    <x v="3"/>
    <s v="North"/>
    <n v="7"/>
    <n v="575.9"/>
    <n v="0.25"/>
    <x v="2"/>
    <s v="COD"/>
    <n v="8"/>
    <n v="2"/>
    <n v="3023.48"/>
    <n v="3023.48"/>
  </r>
  <r>
    <x v="202"/>
    <s v="7/22/2022"/>
    <x v="202"/>
    <n v="1484"/>
    <x v="2"/>
    <x v="2"/>
    <x v="3"/>
    <s v="North"/>
    <n v="1"/>
    <n v="135.52000000000001"/>
    <n v="0.28999999999999998"/>
    <x v="2"/>
    <s v="COD"/>
    <n v="7"/>
    <n v="1.9"/>
    <n v="96.22"/>
    <n v="96.22"/>
  </r>
  <r>
    <x v="203"/>
    <s v="7/23/2022"/>
    <x v="203"/>
    <n v="1406"/>
    <x v="3"/>
    <x v="3"/>
    <x v="2"/>
    <s v="West"/>
    <n v="1"/>
    <n v="398.08"/>
    <n v="0.31"/>
    <x v="2"/>
    <s v="COD"/>
    <n v="11"/>
    <n v="2.5"/>
    <n v="274.68"/>
    <n v="274.68"/>
  </r>
  <r>
    <x v="204"/>
    <s v="7/24/2022"/>
    <x v="204"/>
    <n v="1230"/>
    <x v="1"/>
    <x v="1"/>
    <x v="3"/>
    <s v="North"/>
    <n v="5"/>
    <n v="40.39"/>
    <n v="0.34"/>
    <x v="1"/>
    <s v="Card"/>
    <n v="3"/>
    <n v="1.7"/>
    <n v="133.29"/>
    <n v="133.29"/>
  </r>
  <r>
    <x v="205"/>
    <s v="7/25/2022"/>
    <x v="205"/>
    <n v="1748"/>
    <x v="1"/>
    <x v="1"/>
    <x v="1"/>
    <s v="East"/>
    <n v="2"/>
    <n v="53.85"/>
    <n v="0.27"/>
    <x v="1"/>
    <s v="Card"/>
    <n v="6"/>
    <n v="3.7"/>
    <n v="78.62"/>
    <n v="78.62"/>
  </r>
  <r>
    <x v="206"/>
    <s v="7/26/2022"/>
    <x v="206"/>
    <n v="1654"/>
    <x v="1"/>
    <x v="1"/>
    <x v="0"/>
    <s v="South"/>
    <n v="5"/>
    <n v="337.82"/>
    <n v="0.21"/>
    <x v="1"/>
    <s v="Card"/>
    <n v="4"/>
    <n v="3.5"/>
    <n v="1334.39"/>
    <n v="1334.39"/>
  </r>
  <r>
    <x v="207"/>
    <s v="7/27/2022"/>
    <x v="207"/>
    <n v="1170"/>
    <x v="2"/>
    <x v="2"/>
    <x v="2"/>
    <s v="West"/>
    <n v="1"/>
    <n v="76.39"/>
    <n v="0.13"/>
    <x v="1"/>
    <s v="Card"/>
    <n v="5"/>
    <n v="3.5"/>
    <n v="66.459999999999994"/>
    <n v="66.459999999999994"/>
  </r>
  <r>
    <x v="208"/>
    <s v="7/28/2022"/>
    <x v="208"/>
    <n v="1540"/>
    <x v="2"/>
    <x v="2"/>
    <x v="1"/>
    <s v="East"/>
    <n v="4"/>
    <n v="28.07"/>
    <n v="0.06"/>
    <x v="1"/>
    <s v="Card"/>
    <n v="3"/>
    <n v="1.9"/>
    <n v="105.54"/>
    <n v="105.54"/>
  </r>
  <r>
    <x v="209"/>
    <s v="7/29/2022"/>
    <x v="209"/>
    <n v="1035"/>
    <x v="1"/>
    <x v="1"/>
    <x v="0"/>
    <s v="South"/>
    <n v="2"/>
    <n v="115.34"/>
    <n v="0.24"/>
    <x v="1"/>
    <s v="Card"/>
    <n v="5"/>
    <n v="2"/>
    <n v="175.32"/>
    <n v="175.32"/>
  </r>
  <r>
    <x v="210"/>
    <s v="7/30/2022"/>
    <x v="210"/>
    <n v="1524"/>
    <x v="2"/>
    <x v="2"/>
    <x v="2"/>
    <s v="West"/>
    <n v="4"/>
    <n v="345.44"/>
    <n v="0.35"/>
    <x v="1"/>
    <s v="Card"/>
    <n v="6"/>
    <n v="4.0999999999999996"/>
    <n v="898.14"/>
    <n v="898.14"/>
  </r>
  <r>
    <x v="211"/>
    <s v="7/31/2022"/>
    <x v="211"/>
    <n v="1159"/>
    <x v="2"/>
    <x v="2"/>
    <x v="2"/>
    <s v="West"/>
    <n v="5"/>
    <n v="426.45"/>
    <n v="0.16"/>
    <x v="2"/>
    <s v="COD"/>
    <n v="8"/>
    <n v="3.8"/>
    <n v="1791.09"/>
    <n v="1791.09"/>
  </r>
  <r>
    <x v="212"/>
    <d v="2022-01-08T00:00:00"/>
    <x v="212"/>
    <n v="1838"/>
    <x v="3"/>
    <x v="3"/>
    <x v="0"/>
    <s v="South"/>
    <n v="3"/>
    <n v="133.44999999999999"/>
    <n v="0.25"/>
    <x v="0"/>
    <s v="Wallet"/>
    <n v="6"/>
    <n v="4.5"/>
    <n v="300.26"/>
    <n v="300.26"/>
  </r>
  <r>
    <x v="213"/>
    <d v="2022-02-08T00:00:00"/>
    <x v="213"/>
    <n v="1698"/>
    <x v="0"/>
    <x v="0"/>
    <x v="0"/>
    <s v="South"/>
    <n v="4"/>
    <n v="405.93"/>
    <n v="0.17"/>
    <x v="0"/>
    <s v="Wallet"/>
    <n v="9"/>
    <n v="2.6"/>
    <n v="1347.69"/>
    <n v="1347.69"/>
  </r>
  <r>
    <x v="214"/>
    <d v="2022-03-08T00:00:00"/>
    <x v="214"/>
    <n v="1242"/>
    <x v="3"/>
    <x v="3"/>
    <x v="1"/>
    <s v="East"/>
    <n v="5"/>
    <n v="121.75"/>
    <n v="0.15"/>
    <x v="1"/>
    <s v="Card"/>
    <n v="10"/>
    <n v="3.2"/>
    <n v="517.44000000000005"/>
    <n v="517.44000000000005"/>
  </r>
  <r>
    <x v="215"/>
    <d v="2022-04-08T00:00:00"/>
    <x v="215"/>
    <n v="1085"/>
    <x v="0"/>
    <x v="0"/>
    <x v="3"/>
    <s v="North"/>
    <n v="5"/>
    <n v="373.87"/>
    <n v="0.14000000000000001"/>
    <x v="1"/>
    <s v="Card"/>
    <n v="10"/>
    <n v="4"/>
    <n v="1607.64"/>
    <n v="1607.64"/>
  </r>
  <r>
    <x v="216"/>
    <d v="2022-05-08T00:00:00"/>
    <x v="216"/>
    <n v="1795"/>
    <x v="2"/>
    <x v="2"/>
    <x v="3"/>
    <s v="North"/>
    <n v="5"/>
    <n v="256"/>
    <n v="0.18"/>
    <x v="1"/>
    <s v="Card"/>
    <n v="10"/>
    <n v="4.9000000000000004"/>
    <n v="1049.5999999999999"/>
    <n v="1049.5999999999999"/>
  </r>
  <r>
    <x v="217"/>
    <d v="2022-06-08T00:00:00"/>
    <x v="217"/>
    <n v="1577"/>
    <x v="0"/>
    <x v="0"/>
    <x v="3"/>
    <s v="North"/>
    <n v="3"/>
    <n v="397.47"/>
    <n v="0.13"/>
    <x v="0"/>
    <s v="Wallet"/>
    <n v="10"/>
    <n v="5"/>
    <n v="1037.4000000000001"/>
    <n v="1037.4000000000001"/>
  </r>
  <r>
    <x v="218"/>
    <d v="2022-07-08T00:00:00"/>
    <x v="218"/>
    <n v="1681"/>
    <x v="2"/>
    <x v="2"/>
    <x v="3"/>
    <s v="North"/>
    <n v="3"/>
    <n v="597.11"/>
    <n v="0.26"/>
    <x v="2"/>
    <s v="COD"/>
    <n v="4"/>
    <n v="5"/>
    <n v="1325.58"/>
    <n v="1325.58"/>
  </r>
  <r>
    <x v="219"/>
    <d v="2022-08-08T00:00:00"/>
    <x v="219"/>
    <n v="1556"/>
    <x v="0"/>
    <x v="0"/>
    <x v="3"/>
    <s v="North"/>
    <n v="7"/>
    <n v="563.62"/>
    <n v="0.31"/>
    <x v="1"/>
    <s v="Card"/>
    <n v="2"/>
    <n v="4.5999999999999996"/>
    <n v="2722.28"/>
    <n v="2722.28"/>
  </r>
  <r>
    <x v="220"/>
    <d v="2022-09-08T00:00:00"/>
    <x v="220"/>
    <n v="1573"/>
    <x v="0"/>
    <x v="0"/>
    <x v="1"/>
    <s v="East"/>
    <n v="3"/>
    <n v="17.5"/>
    <n v="0.31"/>
    <x v="0"/>
    <s v="Wallet"/>
    <n v="9"/>
    <n v="3.6"/>
    <n v="36.22"/>
    <n v="36.229999999999997"/>
  </r>
  <r>
    <x v="221"/>
    <d v="2022-10-08T00:00:00"/>
    <x v="221"/>
    <n v="1952"/>
    <x v="3"/>
    <x v="3"/>
    <x v="2"/>
    <s v="West"/>
    <n v="2"/>
    <n v="532.98"/>
    <n v="0.08"/>
    <x v="1"/>
    <s v="Card"/>
    <n v="11"/>
    <n v="1"/>
    <n v="980.68"/>
    <n v="980.68"/>
  </r>
  <r>
    <x v="222"/>
    <d v="2022-11-08T00:00:00"/>
    <x v="222"/>
    <n v="1645"/>
    <x v="0"/>
    <x v="0"/>
    <x v="1"/>
    <s v="East"/>
    <n v="3"/>
    <n v="53.9"/>
    <n v="0.31"/>
    <x v="0"/>
    <s v="Wallet"/>
    <n v="3"/>
    <n v="3.8"/>
    <n v="111.57"/>
    <n v="111.57"/>
  </r>
  <r>
    <x v="223"/>
    <d v="2022-12-08T00:00:00"/>
    <x v="223"/>
    <n v="1795"/>
    <x v="1"/>
    <x v="1"/>
    <x v="1"/>
    <s v="East"/>
    <n v="3"/>
    <n v="572.53"/>
    <n v="0.12"/>
    <x v="1"/>
    <s v="Card"/>
    <n v="11"/>
    <n v="2"/>
    <n v="1511.48"/>
    <n v="1511.48"/>
  </r>
  <r>
    <x v="224"/>
    <s v="8/13/2022"/>
    <x v="224"/>
    <n v="1027"/>
    <x v="2"/>
    <x v="2"/>
    <x v="1"/>
    <s v="East"/>
    <n v="3"/>
    <n v="179.87"/>
    <n v="0.11"/>
    <x v="1"/>
    <s v="Card"/>
    <n v="7"/>
    <n v="1.2"/>
    <n v="480.25"/>
    <n v="480.25"/>
  </r>
  <r>
    <x v="225"/>
    <s v="8/14/2022"/>
    <x v="225"/>
    <n v="1619"/>
    <x v="1"/>
    <x v="1"/>
    <x v="2"/>
    <s v="West"/>
    <n v="4"/>
    <n v="238.49"/>
    <n v="0.25"/>
    <x v="2"/>
    <s v="COD"/>
    <n v="4"/>
    <n v="3.8"/>
    <n v="715.47"/>
    <n v="715.47"/>
  </r>
  <r>
    <x v="226"/>
    <s v="8/15/2022"/>
    <x v="226"/>
    <n v="1555"/>
    <x v="1"/>
    <x v="1"/>
    <x v="1"/>
    <s v="East"/>
    <n v="3"/>
    <n v="68.61"/>
    <n v="0.11"/>
    <x v="0"/>
    <s v="Wallet"/>
    <n v="1"/>
    <n v="4"/>
    <n v="183.19"/>
    <n v="183.19"/>
  </r>
  <r>
    <x v="227"/>
    <s v="8/16/2022"/>
    <x v="227"/>
    <n v="1339"/>
    <x v="2"/>
    <x v="2"/>
    <x v="1"/>
    <s v="East"/>
    <n v="2"/>
    <n v="80.680000000000007"/>
    <n v="0.02"/>
    <x v="0"/>
    <s v="Wallet"/>
    <n v="8"/>
    <n v="3.6"/>
    <n v="158.13"/>
    <n v="158.13"/>
  </r>
  <r>
    <x v="228"/>
    <s v="8/17/2022"/>
    <x v="228"/>
    <n v="1797"/>
    <x v="1"/>
    <x v="1"/>
    <x v="2"/>
    <s v="West"/>
    <n v="5"/>
    <n v="440.14"/>
    <n v="0.13"/>
    <x v="2"/>
    <s v="COD"/>
    <n v="4"/>
    <n v="2.5"/>
    <n v="1914.61"/>
    <n v="1914.61"/>
  </r>
  <r>
    <x v="229"/>
    <s v="8/18/2022"/>
    <x v="229"/>
    <n v="1957"/>
    <x v="0"/>
    <x v="0"/>
    <x v="1"/>
    <s v="East"/>
    <n v="4"/>
    <n v="567.42999999999995"/>
    <n v="0.25"/>
    <x v="1"/>
    <s v="Card"/>
    <n v="11"/>
    <n v="3"/>
    <n v="1702.29"/>
    <n v="1702.29"/>
  </r>
  <r>
    <x v="230"/>
    <s v="8/19/2022"/>
    <x v="230"/>
    <n v="1330"/>
    <x v="2"/>
    <x v="2"/>
    <x v="3"/>
    <s v="North"/>
    <n v="1"/>
    <n v="372.29"/>
    <n v="0.11"/>
    <x v="1"/>
    <s v="Card"/>
    <n v="6"/>
    <n v="4.7"/>
    <n v="331.34"/>
    <n v="331.34"/>
  </r>
  <r>
    <x v="231"/>
    <s v="8/20/2022"/>
    <x v="231"/>
    <n v="1639"/>
    <x v="3"/>
    <x v="3"/>
    <x v="0"/>
    <s v="South"/>
    <n v="3"/>
    <n v="433.77"/>
    <n v="0.22"/>
    <x v="0"/>
    <s v="Wallet"/>
    <n v="7"/>
    <n v="3.9"/>
    <n v="1015.02"/>
    <n v="1015.02"/>
  </r>
  <r>
    <x v="232"/>
    <s v="8/21/2022"/>
    <x v="232"/>
    <n v="1505"/>
    <x v="0"/>
    <x v="0"/>
    <x v="1"/>
    <s v="East"/>
    <n v="7"/>
    <n v="460.75"/>
    <n v="0.23"/>
    <x v="2"/>
    <s v="COD"/>
    <n v="8"/>
    <n v="3"/>
    <n v="2483.44"/>
    <n v="2483.44"/>
  </r>
  <r>
    <x v="233"/>
    <s v="8/22/2022"/>
    <x v="233"/>
    <n v="1347"/>
    <x v="0"/>
    <x v="0"/>
    <x v="0"/>
    <s v="South"/>
    <n v="7"/>
    <n v="168.75"/>
    <n v="0.26"/>
    <x v="2"/>
    <s v="COD"/>
    <n v="10"/>
    <n v="3.4"/>
    <n v="874.12"/>
    <n v="874.13"/>
  </r>
  <r>
    <x v="234"/>
    <s v="8/23/2022"/>
    <x v="234"/>
    <n v="1472"/>
    <x v="0"/>
    <x v="0"/>
    <x v="1"/>
    <s v="East"/>
    <n v="5"/>
    <n v="41.46"/>
    <n v="0.31"/>
    <x v="1"/>
    <s v="Card"/>
    <n v="2"/>
    <n v="4.7"/>
    <n v="143.04"/>
    <n v="143.04"/>
  </r>
  <r>
    <x v="235"/>
    <s v="8/24/2022"/>
    <x v="235"/>
    <n v="1230"/>
    <x v="1"/>
    <x v="1"/>
    <x v="1"/>
    <s v="East"/>
    <n v="5"/>
    <n v="16.100000000000001"/>
    <n v="0.15"/>
    <x v="2"/>
    <s v="COD"/>
    <n v="9"/>
    <n v="2.6"/>
    <n v="68.42"/>
    <n v="68.430000000000007"/>
  </r>
  <r>
    <x v="236"/>
    <s v="8/25/2022"/>
    <x v="236"/>
    <n v="1189"/>
    <x v="0"/>
    <x v="0"/>
    <x v="3"/>
    <s v="North"/>
    <n v="4"/>
    <n v="220.13"/>
    <n v="0.06"/>
    <x v="1"/>
    <s v="Card"/>
    <n v="10"/>
    <n v="1.4"/>
    <n v="827.69"/>
    <n v="827.69"/>
  </r>
  <r>
    <x v="237"/>
    <s v="8/26/2022"/>
    <x v="237"/>
    <n v="1224"/>
    <x v="3"/>
    <x v="3"/>
    <x v="2"/>
    <s v="West"/>
    <n v="7"/>
    <n v="156.26"/>
    <n v="0.11"/>
    <x v="2"/>
    <s v="COD"/>
    <n v="3"/>
    <n v="2.2999999999999998"/>
    <n v="973.5"/>
    <n v="973.5"/>
  </r>
  <r>
    <x v="238"/>
    <s v="8/27/2022"/>
    <x v="238"/>
    <n v="1384"/>
    <x v="2"/>
    <x v="2"/>
    <x v="0"/>
    <s v="South"/>
    <n v="1"/>
    <n v="51.46"/>
    <n v="0.15"/>
    <x v="0"/>
    <s v="Wallet"/>
    <n v="1"/>
    <n v="2.7"/>
    <n v="43.74"/>
    <n v="43.74"/>
  </r>
  <r>
    <x v="239"/>
    <s v="8/28/2022"/>
    <x v="239"/>
    <n v="1376"/>
    <x v="1"/>
    <x v="1"/>
    <x v="2"/>
    <s v="West"/>
    <n v="6"/>
    <n v="120.02"/>
    <n v="0.25"/>
    <x v="2"/>
    <s v="COD"/>
    <n v="2"/>
    <n v="2.1"/>
    <n v="540.09"/>
    <n v="540.09"/>
  </r>
  <r>
    <x v="240"/>
    <s v="8/29/2022"/>
    <x v="240"/>
    <n v="1282"/>
    <x v="3"/>
    <x v="3"/>
    <x v="3"/>
    <s v="North"/>
    <n v="7"/>
    <n v="87.83"/>
    <n v="0"/>
    <x v="2"/>
    <s v="COD"/>
    <n v="8"/>
    <n v="3.1"/>
    <n v="614.80999999999995"/>
    <n v="614.80999999999995"/>
  </r>
  <r>
    <x v="241"/>
    <s v="8/30/2022"/>
    <x v="241"/>
    <n v="1957"/>
    <x v="2"/>
    <x v="2"/>
    <x v="3"/>
    <s v="North"/>
    <n v="7"/>
    <n v="550.20000000000005"/>
    <n v="0.11"/>
    <x v="1"/>
    <s v="Card"/>
    <n v="10"/>
    <n v="2.2000000000000002"/>
    <n v="3427.75"/>
    <n v="3427.75"/>
  </r>
  <r>
    <x v="242"/>
    <s v="8/31/2022"/>
    <x v="242"/>
    <n v="1632"/>
    <x v="1"/>
    <x v="1"/>
    <x v="0"/>
    <s v="South"/>
    <n v="2"/>
    <n v="97.06"/>
    <n v="0.27"/>
    <x v="1"/>
    <s v="Card"/>
    <n v="6"/>
    <n v="1.4"/>
    <n v="141.71"/>
    <n v="141.71"/>
  </r>
  <r>
    <x v="243"/>
    <d v="2022-01-09T00:00:00"/>
    <x v="243"/>
    <n v="1627"/>
    <x v="3"/>
    <x v="3"/>
    <x v="2"/>
    <s v="West"/>
    <n v="6"/>
    <n v="329.52"/>
    <n v="0.23"/>
    <x v="0"/>
    <s v="Wallet"/>
    <n v="11"/>
    <n v="1.8"/>
    <n v="1522.38"/>
    <n v="1522.38"/>
  </r>
  <r>
    <x v="244"/>
    <d v="2022-02-09T00:00:00"/>
    <x v="244"/>
    <n v="1972"/>
    <x v="2"/>
    <x v="2"/>
    <x v="3"/>
    <s v="North"/>
    <n v="5"/>
    <n v="361.97"/>
    <n v="0.26"/>
    <x v="1"/>
    <s v="Card"/>
    <n v="1"/>
    <n v="4.7"/>
    <n v="1339.29"/>
    <n v="1339.29"/>
  </r>
  <r>
    <x v="245"/>
    <d v="2022-03-09T00:00:00"/>
    <x v="245"/>
    <n v="1744"/>
    <x v="1"/>
    <x v="1"/>
    <x v="1"/>
    <s v="East"/>
    <n v="6"/>
    <n v="332.94"/>
    <n v="0.28000000000000003"/>
    <x v="0"/>
    <s v="Wallet"/>
    <n v="11"/>
    <n v="3.5"/>
    <n v="1438.3"/>
    <n v="1438.3"/>
  </r>
  <r>
    <x v="246"/>
    <d v="2022-04-09T00:00:00"/>
    <x v="246"/>
    <n v="1258"/>
    <x v="3"/>
    <x v="3"/>
    <x v="1"/>
    <s v="East"/>
    <n v="7"/>
    <n v="72.95"/>
    <n v="0.27"/>
    <x v="2"/>
    <s v="COD"/>
    <n v="9"/>
    <n v="2.2999999999999998"/>
    <n v="372.77"/>
    <n v="372.77"/>
  </r>
  <r>
    <x v="247"/>
    <d v="2022-05-09T00:00:00"/>
    <x v="247"/>
    <n v="1358"/>
    <x v="1"/>
    <x v="1"/>
    <x v="1"/>
    <s v="East"/>
    <n v="5"/>
    <n v="201.5"/>
    <n v="0.24"/>
    <x v="2"/>
    <s v="COD"/>
    <n v="7"/>
    <n v="2.5"/>
    <n v="765.7"/>
    <n v="765.7"/>
  </r>
  <r>
    <x v="248"/>
    <d v="2022-06-09T00:00:00"/>
    <x v="248"/>
    <n v="1709"/>
    <x v="2"/>
    <x v="2"/>
    <x v="2"/>
    <s v="West"/>
    <n v="6"/>
    <n v="44.99"/>
    <n v="0.15"/>
    <x v="0"/>
    <s v="Wallet"/>
    <n v="10"/>
    <n v="3"/>
    <n v="229.45"/>
    <n v="229.45"/>
  </r>
  <r>
    <x v="249"/>
    <d v="2022-07-09T00:00:00"/>
    <x v="249"/>
    <n v="1455"/>
    <x v="2"/>
    <x v="2"/>
    <x v="1"/>
    <s v="East"/>
    <n v="5"/>
    <n v="246.47"/>
    <n v="0.34"/>
    <x v="2"/>
    <s v="COD"/>
    <n v="11"/>
    <n v="3.7"/>
    <n v="813.35"/>
    <n v="813.35"/>
  </r>
  <r>
    <x v="250"/>
    <d v="2022-08-09T00:00:00"/>
    <x v="250"/>
    <n v="1410"/>
    <x v="1"/>
    <x v="1"/>
    <x v="1"/>
    <s v="East"/>
    <n v="5"/>
    <n v="125.33"/>
    <n v="0.2"/>
    <x v="0"/>
    <s v="Wallet"/>
    <n v="3"/>
    <n v="3.3"/>
    <n v="501.32"/>
    <n v="501.32"/>
  </r>
  <r>
    <x v="251"/>
    <d v="2022-09-09T00:00:00"/>
    <x v="251"/>
    <n v="1648"/>
    <x v="0"/>
    <x v="0"/>
    <x v="3"/>
    <s v="North"/>
    <n v="4"/>
    <n v="343.56"/>
    <n v="7.0000000000000007E-2"/>
    <x v="1"/>
    <s v="Card"/>
    <n v="7"/>
    <n v="4.7"/>
    <n v="1278.04"/>
    <n v="1278.04"/>
  </r>
  <r>
    <x v="252"/>
    <d v="2022-10-09T00:00:00"/>
    <x v="252"/>
    <n v="1317"/>
    <x v="2"/>
    <x v="2"/>
    <x v="3"/>
    <s v="North"/>
    <n v="1"/>
    <n v="420.29"/>
    <n v="0.1"/>
    <x v="2"/>
    <s v="COD"/>
    <n v="6"/>
    <n v="3.5"/>
    <n v="378.26"/>
    <n v="378.26"/>
  </r>
  <r>
    <x v="253"/>
    <d v="2022-11-09T00:00:00"/>
    <x v="253"/>
    <n v="1676"/>
    <x v="1"/>
    <x v="1"/>
    <x v="1"/>
    <s v="East"/>
    <n v="5"/>
    <n v="326.29000000000002"/>
    <n v="0.24"/>
    <x v="2"/>
    <s v="COD"/>
    <n v="3"/>
    <n v="4.5999999999999996"/>
    <n v="1239.9000000000001"/>
    <n v="1239.9000000000001"/>
  </r>
  <r>
    <x v="254"/>
    <d v="2022-12-09T00:00:00"/>
    <x v="254"/>
    <n v="1224"/>
    <x v="2"/>
    <x v="2"/>
    <x v="1"/>
    <s v="East"/>
    <n v="2"/>
    <n v="269.02999999999997"/>
    <n v="0.32"/>
    <x v="1"/>
    <s v="Card"/>
    <n v="8"/>
    <n v="1"/>
    <n v="365.88"/>
    <n v="365.88"/>
  </r>
  <r>
    <x v="255"/>
    <s v="9/13/2022"/>
    <x v="255"/>
    <n v="1818"/>
    <x v="2"/>
    <x v="2"/>
    <x v="3"/>
    <s v="North"/>
    <n v="7"/>
    <n v="241.59"/>
    <n v="0.06"/>
    <x v="2"/>
    <s v="COD"/>
    <n v="1"/>
    <n v="4.5999999999999996"/>
    <n v="1589.66"/>
    <n v="1589.66"/>
  </r>
  <r>
    <x v="256"/>
    <s v="9/14/2022"/>
    <x v="256"/>
    <n v="1233"/>
    <x v="3"/>
    <x v="3"/>
    <x v="0"/>
    <s v="South"/>
    <n v="7"/>
    <n v="507.39"/>
    <n v="0.03"/>
    <x v="2"/>
    <s v="COD"/>
    <n v="5"/>
    <n v="3.9"/>
    <n v="3445.18"/>
    <n v="3445.18"/>
  </r>
  <r>
    <x v="257"/>
    <s v="9/15/2022"/>
    <x v="257"/>
    <n v="1683"/>
    <x v="3"/>
    <x v="3"/>
    <x v="2"/>
    <s v="West"/>
    <n v="2"/>
    <n v="143.33000000000001"/>
    <n v="0.31"/>
    <x v="0"/>
    <s v="Wallet"/>
    <n v="8"/>
    <n v="1.7"/>
    <n v="197.8"/>
    <n v="197.8"/>
  </r>
  <r>
    <x v="258"/>
    <s v="9/16/2022"/>
    <x v="258"/>
    <n v="1663"/>
    <x v="2"/>
    <x v="2"/>
    <x v="2"/>
    <s v="West"/>
    <n v="3"/>
    <n v="444.52"/>
    <n v="0.32"/>
    <x v="1"/>
    <s v="Card"/>
    <n v="3"/>
    <n v="2.1"/>
    <n v="906.82"/>
    <n v="906.82"/>
  </r>
  <r>
    <x v="259"/>
    <s v="9/17/2022"/>
    <x v="259"/>
    <n v="1974"/>
    <x v="1"/>
    <x v="1"/>
    <x v="3"/>
    <s v="North"/>
    <n v="5"/>
    <n v="458.13"/>
    <n v="0.1"/>
    <x v="2"/>
    <s v="COD"/>
    <n v="11"/>
    <n v="3.2"/>
    <n v="2061.58"/>
    <n v="2061.59"/>
  </r>
  <r>
    <x v="260"/>
    <s v="9/18/2022"/>
    <x v="260"/>
    <n v="1826"/>
    <x v="2"/>
    <x v="2"/>
    <x v="2"/>
    <s v="West"/>
    <n v="5"/>
    <n v="260.23"/>
    <n v="0.13"/>
    <x v="1"/>
    <s v="Card"/>
    <n v="10"/>
    <n v="1.5"/>
    <n v="1132"/>
    <n v="1132"/>
  </r>
  <r>
    <x v="261"/>
    <s v="9/19/2022"/>
    <x v="261"/>
    <n v="1373"/>
    <x v="1"/>
    <x v="1"/>
    <x v="3"/>
    <s v="North"/>
    <n v="5"/>
    <n v="188.92"/>
    <n v="0.23"/>
    <x v="2"/>
    <s v="COD"/>
    <n v="11"/>
    <n v="4.0999999999999996"/>
    <n v="727.34"/>
    <n v="727.34"/>
  </r>
  <r>
    <x v="262"/>
    <s v="9/20/2022"/>
    <x v="262"/>
    <n v="1671"/>
    <x v="3"/>
    <x v="3"/>
    <x v="3"/>
    <s v="North"/>
    <n v="6"/>
    <n v="290.27"/>
    <n v="0.12"/>
    <x v="2"/>
    <s v="COD"/>
    <n v="6"/>
    <n v="4.2"/>
    <n v="1532.63"/>
    <n v="1532.63"/>
  </r>
  <r>
    <x v="263"/>
    <s v="9/21/2022"/>
    <x v="263"/>
    <n v="1607"/>
    <x v="2"/>
    <x v="2"/>
    <x v="3"/>
    <s v="North"/>
    <n v="5"/>
    <n v="69.53"/>
    <n v="0.31"/>
    <x v="2"/>
    <s v="COD"/>
    <n v="10"/>
    <n v="2.2000000000000002"/>
    <n v="239.88"/>
    <n v="239.88"/>
  </r>
  <r>
    <x v="264"/>
    <s v="9/22/2022"/>
    <x v="264"/>
    <n v="1471"/>
    <x v="2"/>
    <x v="2"/>
    <x v="3"/>
    <s v="North"/>
    <n v="5"/>
    <n v="41.87"/>
    <n v="0.04"/>
    <x v="1"/>
    <s v="Card"/>
    <n v="11"/>
    <n v="1.3"/>
    <n v="200.98"/>
    <n v="200.98"/>
  </r>
  <r>
    <x v="265"/>
    <s v="9/23/2022"/>
    <x v="265"/>
    <n v="1232"/>
    <x v="1"/>
    <x v="1"/>
    <x v="0"/>
    <s v="South"/>
    <n v="2"/>
    <n v="80.290000000000006"/>
    <n v="0.01"/>
    <x v="1"/>
    <s v="Card"/>
    <n v="2"/>
    <n v="5"/>
    <n v="158.97"/>
    <n v="158.97"/>
  </r>
  <r>
    <x v="266"/>
    <s v="9/24/2022"/>
    <x v="266"/>
    <n v="1691"/>
    <x v="0"/>
    <x v="0"/>
    <x v="1"/>
    <s v="East"/>
    <n v="1"/>
    <n v="124.48"/>
    <n v="7.0000000000000007E-2"/>
    <x v="1"/>
    <s v="Card"/>
    <n v="9"/>
    <n v="2"/>
    <n v="115.77"/>
    <n v="115.77"/>
  </r>
  <r>
    <x v="267"/>
    <s v="9/25/2022"/>
    <x v="267"/>
    <n v="1112"/>
    <x v="0"/>
    <x v="0"/>
    <x v="1"/>
    <s v="East"/>
    <n v="1"/>
    <n v="309.94"/>
    <n v="0.1"/>
    <x v="1"/>
    <s v="Card"/>
    <n v="2"/>
    <n v="1.3"/>
    <n v="278.95"/>
    <n v="278.95"/>
  </r>
  <r>
    <x v="268"/>
    <s v="9/26/2022"/>
    <x v="268"/>
    <n v="1829"/>
    <x v="2"/>
    <x v="2"/>
    <x v="0"/>
    <s v="South"/>
    <n v="3"/>
    <n v="511.74"/>
    <n v="0.04"/>
    <x v="2"/>
    <s v="COD"/>
    <n v="5"/>
    <n v="2.2999999999999998"/>
    <n v="1473.81"/>
    <n v="1473.81"/>
  </r>
  <r>
    <x v="269"/>
    <s v="9/27/2022"/>
    <x v="269"/>
    <n v="1496"/>
    <x v="3"/>
    <x v="3"/>
    <x v="2"/>
    <s v="West"/>
    <n v="2"/>
    <n v="152.85"/>
    <n v="0.02"/>
    <x v="0"/>
    <s v="Wallet"/>
    <n v="3"/>
    <n v="4.9000000000000004"/>
    <n v="299.58999999999997"/>
    <n v="299.58999999999997"/>
  </r>
  <r>
    <x v="270"/>
    <s v="9/28/2022"/>
    <x v="270"/>
    <n v="1441"/>
    <x v="1"/>
    <x v="1"/>
    <x v="2"/>
    <s v="West"/>
    <n v="5"/>
    <n v="562.07000000000005"/>
    <n v="0.26"/>
    <x v="1"/>
    <s v="Card"/>
    <n v="10"/>
    <n v="4.2"/>
    <n v="2079.66"/>
    <n v="2079.66"/>
  </r>
  <r>
    <x v="271"/>
    <s v="9/29/2022"/>
    <x v="271"/>
    <n v="1563"/>
    <x v="1"/>
    <x v="1"/>
    <x v="1"/>
    <s v="East"/>
    <n v="1"/>
    <n v="573.62"/>
    <n v="0.06"/>
    <x v="1"/>
    <s v="Card"/>
    <n v="9"/>
    <n v="2.9"/>
    <n v="539.20000000000005"/>
    <n v="539.20000000000005"/>
  </r>
  <r>
    <x v="272"/>
    <s v="9/30/2022"/>
    <x v="272"/>
    <n v="1267"/>
    <x v="3"/>
    <x v="3"/>
    <x v="2"/>
    <s v="West"/>
    <n v="4"/>
    <n v="575.96"/>
    <n v="0.32"/>
    <x v="2"/>
    <s v="COD"/>
    <n v="9"/>
    <n v="2.2000000000000002"/>
    <n v="1566.61"/>
    <n v="1566.61"/>
  </r>
  <r>
    <x v="273"/>
    <d v="2022-01-10T00:00:00"/>
    <x v="273"/>
    <n v="1509"/>
    <x v="0"/>
    <x v="0"/>
    <x v="1"/>
    <s v="East"/>
    <n v="4"/>
    <n v="504.97"/>
    <n v="0.13"/>
    <x v="2"/>
    <s v="COD"/>
    <n v="7"/>
    <n v="2.7"/>
    <n v="1757.3"/>
    <n v="1757.3"/>
  </r>
  <r>
    <x v="274"/>
    <d v="2022-02-10T00:00:00"/>
    <x v="274"/>
    <n v="1806"/>
    <x v="0"/>
    <x v="0"/>
    <x v="1"/>
    <s v="East"/>
    <n v="4"/>
    <n v="227.84"/>
    <n v="0.23"/>
    <x v="1"/>
    <s v="Card"/>
    <n v="10"/>
    <n v="1.1000000000000001"/>
    <n v="701.75"/>
    <n v="701.75"/>
  </r>
  <r>
    <x v="275"/>
    <d v="2022-03-10T00:00:00"/>
    <x v="275"/>
    <n v="1385"/>
    <x v="1"/>
    <x v="1"/>
    <x v="0"/>
    <s v="South"/>
    <n v="5"/>
    <n v="57.52"/>
    <n v="0.08"/>
    <x v="1"/>
    <s v="Card"/>
    <n v="5"/>
    <n v="3.9"/>
    <n v="264.58999999999997"/>
    <n v="264.58999999999997"/>
  </r>
  <r>
    <x v="276"/>
    <d v="2022-04-10T00:00:00"/>
    <x v="276"/>
    <n v="1386"/>
    <x v="1"/>
    <x v="1"/>
    <x v="2"/>
    <s v="West"/>
    <n v="5"/>
    <n v="347.76"/>
    <n v="0.08"/>
    <x v="1"/>
    <s v="Card"/>
    <n v="9"/>
    <n v="1.4"/>
    <n v="1599.7"/>
    <n v="1599.7"/>
  </r>
  <r>
    <x v="277"/>
    <d v="2022-05-10T00:00:00"/>
    <x v="277"/>
    <n v="1112"/>
    <x v="3"/>
    <x v="3"/>
    <x v="0"/>
    <s v="South"/>
    <n v="3"/>
    <n v="341.83"/>
    <n v="0.2"/>
    <x v="1"/>
    <s v="Card"/>
    <n v="7"/>
    <n v="3.1"/>
    <n v="820.39"/>
    <n v="820.39"/>
  </r>
  <r>
    <x v="278"/>
    <d v="2022-06-10T00:00:00"/>
    <x v="278"/>
    <n v="1612"/>
    <x v="2"/>
    <x v="2"/>
    <x v="1"/>
    <s v="East"/>
    <n v="7"/>
    <n v="512.24"/>
    <n v="0.2"/>
    <x v="1"/>
    <s v="Card"/>
    <n v="2"/>
    <n v="3.3"/>
    <n v="2868.54"/>
    <n v="2868.54"/>
  </r>
  <r>
    <x v="279"/>
    <d v="2022-07-10T00:00:00"/>
    <x v="279"/>
    <n v="1624"/>
    <x v="1"/>
    <x v="1"/>
    <x v="1"/>
    <s v="East"/>
    <n v="3"/>
    <n v="597.65"/>
    <n v="0.27"/>
    <x v="1"/>
    <s v="Card"/>
    <n v="10"/>
    <n v="1"/>
    <n v="1308.8499999999999"/>
    <n v="1308.8499999999999"/>
  </r>
  <r>
    <x v="280"/>
    <d v="2022-08-10T00:00:00"/>
    <x v="280"/>
    <n v="1951"/>
    <x v="1"/>
    <x v="1"/>
    <x v="1"/>
    <s v="East"/>
    <n v="3"/>
    <n v="312.27"/>
    <n v="0.27"/>
    <x v="2"/>
    <s v="COD"/>
    <n v="1"/>
    <n v="4.9000000000000004"/>
    <n v="683.87"/>
    <n v="683.87"/>
  </r>
  <r>
    <x v="281"/>
    <d v="2022-09-10T00:00:00"/>
    <x v="281"/>
    <n v="1080"/>
    <x v="3"/>
    <x v="3"/>
    <x v="3"/>
    <s v="North"/>
    <n v="6"/>
    <n v="216.94"/>
    <n v="0.23"/>
    <x v="2"/>
    <s v="COD"/>
    <n v="10"/>
    <n v="2.2000000000000002"/>
    <n v="1002.26"/>
    <n v="1002.26"/>
  </r>
  <r>
    <x v="282"/>
    <d v="2022-10-10T00:00:00"/>
    <x v="282"/>
    <n v="1698"/>
    <x v="2"/>
    <x v="2"/>
    <x v="3"/>
    <s v="North"/>
    <n v="4"/>
    <n v="123.75"/>
    <n v="0.16"/>
    <x v="1"/>
    <s v="Card"/>
    <n v="10"/>
    <n v="1.3"/>
    <n v="415.8"/>
    <n v="415.8"/>
  </r>
  <r>
    <x v="283"/>
    <d v="2022-11-10T00:00:00"/>
    <x v="283"/>
    <n v="1112"/>
    <x v="2"/>
    <x v="2"/>
    <x v="3"/>
    <s v="North"/>
    <n v="5"/>
    <n v="17.809999999999999"/>
    <n v="0.31"/>
    <x v="2"/>
    <s v="COD"/>
    <n v="4"/>
    <n v="4.4000000000000004"/>
    <n v="61.44"/>
    <n v="61.44"/>
  </r>
  <r>
    <x v="284"/>
    <d v="2022-12-10T00:00:00"/>
    <x v="284"/>
    <n v="1001"/>
    <x v="0"/>
    <x v="0"/>
    <x v="0"/>
    <s v="South"/>
    <n v="4"/>
    <n v="312.83"/>
    <n v="0.22"/>
    <x v="2"/>
    <s v="COD"/>
    <n v="10"/>
    <n v="1.6"/>
    <n v="976.03"/>
    <n v="976.03"/>
  </r>
  <r>
    <x v="285"/>
    <s v="10/13/2022"/>
    <x v="285"/>
    <n v="1641"/>
    <x v="2"/>
    <x v="2"/>
    <x v="1"/>
    <s v="East"/>
    <n v="3"/>
    <n v="339.98"/>
    <n v="0.35"/>
    <x v="0"/>
    <s v="Wallet"/>
    <n v="8"/>
    <n v="1.1000000000000001"/>
    <n v="662.96"/>
    <n v="662.96"/>
  </r>
  <r>
    <x v="286"/>
    <s v="10/14/2022"/>
    <x v="286"/>
    <n v="1219"/>
    <x v="1"/>
    <x v="1"/>
    <x v="2"/>
    <s v="West"/>
    <n v="5"/>
    <n v="497.59"/>
    <n v="0.28999999999999998"/>
    <x v="1"/>
    <s v="Card"/>
    <n v="6"/>
    <n v="3"/>
    <n v="1766.44"/>
    <n v="1766.44"/>
  </r>
  <r>
    <x v="287"/>
    <s v="10/15/2022"/>
    <x v="287"/>
    <n v="1565"/>
    <x v="2"/>
    <x v="2"/>
    <x v="0"/>
    <s v="South"/>
    <n v="2"/>
    <n v="310.18"/>
    <n v="0.02"/>
    <x v="2"/>
    <s v="COD"/>
    <n v="2"/>
    <n v="1.5"/>
    <n v="607.95000000000005"/>
    <n v="607.95000000000005"/>
  </r>
  <r>
    <x v="288"/>
    <s v="10/16/2022"/>
    <x v="288"/>
    <n v="1854"/>
    <x v="2"/>
    <x v="2"/>
    <x v="0"/>
    <s v="South"/>
    <n v="1"/>
    <n v="551.13"/>
    <n v="0.11"/>
    <x v="2"/>
    <s v="COD"/>
    <n v="5"/>
    <n v="4.9000000000000004"/>
    <n v="490.51"/>
    <n v="490.51"/>
  </r>
  <r>
    <x v="289"/>
    <s v="10/17/2022"/>
    <x v="289"/>
    <n v="1996"/>
    <x v="2"/>
    <x v="2"/>
    <x v="0"/>
    <s v="South"/>
    <n v="1"/>
    <n v="382.43"/>
    <n v="0.2"/>
    <x v="1"/>
    <s v="Card"/>
    <n v="9"/>
    <n v="1"/>
    <n v="305.94"/>
    <n v="305.94"/>
  </r>
  <r>
    <x v="290"/>
    <s v="10/18/2022"/>
    <x v="290"/>
    <n v="1735"/>
    <x v="2"/>
    <x v="2"/>
    <x v="2"/>
    <s v="West"/>
    <n v="3"/>
    <n v="506.6"/>
    <n v="0.25"/>
    <x v="0"/>
    <s v="Wallet"/>
    <n v="6"/>
    <n v="1.2"/>
    <n v="1139.8499999999999"/>
    <n v="1139.8499999999999"/>
  </r>
  <r>
    <x v="291"/>
    <s v="10/19/2022"/>
    <x v="291"/>
    <n v="1224"/>
    <x v="0"/>
    <x v="0"/>
    <x v="1"/>
    <s v="East"/>
    <n v="7"/>
    <n v="101.76"/>
    <n v="0.19"/>
    <x v="2"/>
    <s v="COD"/>
    <n v="6"/>
    <n v="4.3"/>
    <n v="576.98"/>
    <n v="576.98"/>
  </r>
  <r>
    <x v="292"/>
    <s v="10/20/2022"/>
    <x v="292"/>
    <n v="1384"/>
    <x v="2"/>
    <x v="2"/>
    <x v="3"/>
    <s v="North"/>
    <n v="4"/>
    <n v="515.37"/>
    <n v="0.28000000000000003"/>
    <x v="2"/>
    <s v="COD"/>
    <n v="7"/>
    <n v="2"/>
    <n v="1484.27"/>
    <n v="1484.27"/>
  </r>
  <r>
    <x v="293"/>
    <s v="10/21/2022"/>
    <x v="293"/>
    <n v="1402"/>
    <x v="0"/>
    <x v="0"/>
    <x v="1"/>
    <s v="East"/>
    <n v="2"/>
    <n v="409.96"/>
    <n v="0.1"/>
    <x v="1"/>
    <s v="Card"/>
    <n v="11"/>
    <n v="4.5999999999999996"/>
    <n v="737.93"/>
    <n v="737.93"/>
  </r>
  <r>
    <x v="294"/>
    <s v="10/22/2022"/>
    <x v="294"/>
    <n v="1637"/>
    <x v="1"/>
    <x v="1"/>
    <x v="1"/>
    <s v="East"/>
    <n v="5"/>
    <n v="114.59"/>
    <n v="0.06"/>
    <x v="1"/>
    <s v="Card"/>
    <n v="5"/>
    <n v="2.2000000000000002"/>
    <n v="538.57000000000005"/>
    <n v="538.57000000000005"/>
  </r>
  <r>
    <x v="295"/>
    <s v="10/23/2022"/>
    <x v="295"/>
    <n v="1129"/>
    <x v="1"/>
    <x v="1"/>
    <x v="0"/>
    <s v="South"/>
    <n v="7"/>
    <n v="126.01"/>
    <n v="0.02"/>
    <x v="2"/>
    <s v="COD"/>
    <n v="3"/>
    <n v="1.3"/>
    <n v="864.43"/>
    <n v="864.43"/>
  </r>
  <r>
    <x v="296"/>
    <s v="10/24/2022"/>
    <x v="296"/>
    <n v="1052"/>
    <x v="1"/>
    <x v="1"/>
    <x v="0"/>
    <s v="South"/>
    <n v="4"/>
    <n v="557"/>
    <n v="0.2"/>
    <x v="1"/>
    <s v="Card"/>
    <n v="3"/>
    <n v="1"/>
    <n v="1782.4"/>
    <n v="1782.4"/>
  </r>
  <r>
    <x v="297"/>
    <s v="10/25/2022"/>
    <x v="297"/>
    <n v="1683"/>
    <x v="1"/>
    <x v="1"/>
    <x v="0"/>
    <s v="South"/>
    <n v="3"/>
    <n v="33.85"/>
    <n v="0.24"/>
    <x v="2"/>
    <s v="COD"/>
    <n v="5"/>
    <n v="2.1"/>
    <n v="77.180000000000007"/>
    <n v="77.180000000000007"/>
  </r>
  <r>
    <x v="298"/>
    <s v="10/26/2022"/>
    <x v="298"/>
    <n v="1729"/>
    <x v="3"/>
    <x v="3"/>
    <x v="3"/>
    <s v="North"/>
    <n v="4"/>
    <n v="285.58"/>
    <n v="0.11"/>
    <x v="1"/>
    <s v="Card"/>
    <n v="4"/>
    <n v="2.9"/>
    <n v="1016.66"/>
    <n v="1016.66"/>
  </r>
  <r>
    <x v="299"/>
    <s v="10/27/2022"/>
    <x v="299"/>
    <n v="1671"/>
    <x v="2"/>
    <x v="2"/>
    <x v="3"/>
    <s v="North"/>
    <n v="3"/>
    <n v="198.38"/>
    <n v="0.21"/>
    <x v="2"/>
    <s v="COD"/>
    <n v="5"/>
    <n v="1"/>
    <n v="470.16"/>
    <n v="470.16"/>
  </r>
  <r>
    <x v="300"/>
    <s v="10/28/2022"/>
    <x v="300"/>
    <n v="1709"/>
    <x v="1"/>
    <x v="1"/>
    <x v="3"/>
    <s v="North"/>
    <n v="6"/>
    <n v="404.07"/>
    <n v="0.02"/>
    <x v="2"/>
    <s v="COD"/>
    <n v="9"/>
    <n v="3.3"/>
    <n v="2375.9299999999998"/>
    <n v="2375.9299999999998"/>
  </r>
  <r>
    <x v="301"/>
    <s v="10/29/2022"/>
    <x v="301"/>
    <n v="1415"/>
    <x v="0"/>
    <x v="0"/>
    <x v="1"/>
    <s v="East"/>
    <n v="1"/>
    <n v="506.18"/>
    <n v="0.03"/>
    <x v="1"/>
    <s v="Card"/>
    <n v="5"/>
    <n v="2.2999999999999998"/>
    <n v="490.99"/>
    <n v="490.99"/>
  </r>
  <r>
    <x v="302"/>
    <s v="10/30/2022"/>
    <x v="302"/>
    <n v="1246"/>
    <x v="0"/>
    <x v="0"/>
    <x v="0"/>
    <s v="South"/>
    <n v="7"/>
    <n v="225.82"/>
    <n v="0.25"/>
    <x v="2"/>
    <s v="COD"/>
    <n v="4"/>
    <n v="2.6"/>
    <n v="1185.56"/>
    <n v="1185.56"/>
  </r>
  <r>
    <x v="303"/>
    <s v="10/31/2022"/>
    <x v="303"/>
    <n v="1835"/>
    <x v="0"/>
    <x v="0"/>
    <x v="2"/>
    <s v="West"/>
    <n v="1"/>
    <n v="264.74"/>
    <n v="0.13"/>
    <x v="1"/>
    <s v="Card"/>
    <n v="4"/>
    <n v="2"/>
    <n v="230.32"/>
    <n v="230.32"/>
  </r>
  <r>
    <x v="304"/>
    <d v="2022-01-11T00:00:00"/>
    <x v="304"/>
    <n v="1438"/>
    <x v="1"/>
    <x v="1"/>
    <x v="1"/>
    <s v="East"/>
    <n v="4"/>
    <n v="589.41999999999996"/>
    <n v="0.23"/>
    <x v="1"/>
    <s v="Card"/>
    <n v="1"/>
    <n v="3.1"/>
    <n v="1815.41"/>
    <n v="1815.41"/>
  </r>
  <r>
    <x v="305"/>
    <d v="2022-02-11T00:00:00"/>
    <x v="305"/>
    <n v="1202"/>
    <x v="3"/>
    <x v="3"/>
    <x v="3"/>
    <s v="North"/>
    <n v="2"/>
    <n v="473.59"/>
    <n v="0.28999999999999998"/>
    <x v="1"/>
    <s v="Card"/>
    <n v="10"/>
    <n v="1.9"/>
    <n v="672.5"/>
    <n v="672.5"/>
  </r>
  <r>
    <x v="306"/>
    <d v="2022-03-11T00:00:00"/>
    <x v="306"/>
    <n v="1183"/>
    <x v="1"/>
    <x v="1"/>
    <x v="2"/>
    <s v="West"/>
    <n v="5"/>
    <n v="539.86"/>
    <n v="0.3"/>
    <x v="1"/>
    <s v="Card"/>
    <n v="4"/>
    <n v="1.5"/>
    <n v="1889.51"/>
    <n v="1889.51"/>
  </r>
  <r>
    <x v="307"/>
    <d v="2022-04-11T00:00:00"/>
    <x v="307"/>
    <n v="1122"/>
    <x v="1"/>
    <x v="1"/>
    <x v="2"/>
    <s v="West"/>
    <n v="3"/>
    <n v="271.68"/>
    <n v="0.06"/>
    <x v="1"/>
    <s v="Card"/>
    <n v="4"/>
    <n v="4.5999999999999996"/>
    <n v="766.14"/>
    <n v="766.14"/>
  </r>
  <r>
    <x v="308"/>
    <d v="2022-05-11T00:00:00"/>
    <x v="308"/>
    <n v="1400"/>
    <x v="2"/>
    <x v="2"/>
    <x v="0"/>
    <s v="South"/>
    <n v="5"/>
    <n v="151.93"/>
    <n v="0.17"/>
    <x v="0"/>
    <s v="Wallet"/>
    <n v="9"/>
    <n v="2.6"/>
    <n v="630.51"/>
    <n v="630.51"/>
  </r>
  <r>
    <x v="309"/>
    <d v="2022-06-11T00:00:00"/>
    <x v="309"/>
    <n v="1766"/>
    <x v="1"/>
    <x v="1"/>
    <x v="2"/>
    <s v="West"/>
    <n v="1"/>
    <n v="255.94"/>
    <n v="0.26"/>
    <x v="1"/>
    <s v="Card"/>
    <n v="11"/>
    <n v="1.3"/>
    <n v="189.4"/>
    <n v="189.4"/>
  </r>
  <r>
    <x v="310"/>
    <d v="2022-07-11T00:00:00"/>
    <x v="310"/>
    <n v="1293"/>
    <x v="2"/>
    <x v="2"/>
    <x v="3"/>
    <s v="North"/>
    <n v="2"/>
    <n v="433.91"/>
    <n v="0.27"/>
    <x v="1"/>
    <s v="Card"/>
    <n v="4"/>
    <n v="1.9"/>
    <n v="633.51"/>
    <n v="633.51"/>
  </r>
  <r>
    <x v="311"/>
    <d v="2022-08-11T00:00:00"/>
    <x v="311"/>
    <n v="1279"/>
    <x v="2"/>
    <x v="2"/>
    <x v="0"/>
    <s v="South"/>
    <n v="2"/>
    <n v="79.02"/>
    <n v="0.27"/>
    <x v="1"/>
    <s v="Card"/>
    <n v="7"/>
    <n v="2.2000000000000002"/>
    <n v="115.37"/>
    <n v="115.37"/>
  </r>
  <r>
    <x v="312"/>
    <d v="2022-09-11T00:00:00"/>
    <x v="312"/>
    <n v="1836"/>
    <x v="0"/>
    <x v="0"/>
    <x v="2"/>
    <s v="West"/>
    <n v="5"/>
    <n v="173.22"/>
    <n v="0.08"/>
    <x v="1"/>
    <s v="Card"/>
    <n v="1"/>
    <n v="4.0999999999999996"/>
    <n v="796.81"/>
    <n v="796.81"/>
  </r>
  <r>
    <x v="313"/>
    <d v="2022-10-11T00:00:00"/>
    <x v="313"/>
    <n v="1883"/>
    <x v="2"/>
    <x v="2"/>
    <x v="0"/>
    <s v="South"/>
    <n v="1"/>
    <n v="42.28"/>
    <n v="7.0000000000000007E-2"/>
    <x v="2"/>
    <s v="COD"/>
    <n v="7"/>
    <n v="1.1000000000000001"/>
    <n v="39.32"/>
    <n v="39.32"/>
  </r>
  <r>
    <x v="314"/>
    <d v="2022-11-11T00:00:00"/>
    <x v="314"/>
    <n v="1609"/>
    <x v="2"/>
    <x v="2"/>
    <x v="2"/>
    <s v="West"/>
    <n v="5"/>
    <n v="267.92"/>
    <n v="0.21"/>
    <x v="1"/>
    <s v="Card"/>
    <n v="2"/>
    <n v="2.9"/>
    <n v="1058.28"/>
    <n v="1058.28"/>
  </r>
  <r>
    <x v="315"/>
    <d v="2022-12-11T00:00:00"/>
    <x v="315"/>
    <n v="1197"/>
    <x v="2"/>
    <x v="2"/>
    <x v="1"/>
    <s v="East"/>
    <n v="4"/>
    <n v="499.06"/>
    <n v="0.26"/>
    <x v="2"/>
    <s v="COD"/>
    <n v="11"/>
    <n v="2.6"/>
    <n v="1477.22"/>
    <n v="1477.22"/>
  </r>
  <r>
    <x v="316"/>
    <s v="11/13/2022"/>
    <x v="316"/>
    <n v="1981"/>
    <x v="0"/>
    <x v="0"/>
    <x v="1"/>
    <s v="East"/>
    <n v="2"/>
    <n v="29.43"/>
    <n v="0.11"/>
    <x v="1"/>
    <s v="Card"/>
    <n v="8"/>
    <n v="4.9000000000000004"/>
    <n v="52.39"/>
    <n v="52.39"/>
  </r>
  <r>
    <x v="317"/>
    <s v="11/14/2022"/>
    <x v="317"/>
    <n v="1906"/>
    <x v="1"/>
    <x v="1"/>
    <x v="3"/>
    <s v="North"/>
    <n v="2"/>
    <n v="410.06"/>
    <n v="0.04"/>
    <x v="0"/>
    <s v="Wallet"/>
    <n v="1"/>
    <n v="1.7"/>
    <n v="787.32"/>
    <n v="787.32"/>
  </r>
  <r>
    <x v="318"/>
    <s v="11/15/2022"/>
    <x v="318"/>
    <n v="1510"/>
    <x v="1"/>
    <x v="1"/>
    <x v="1"/>
    <s v="East"/>
    <n v="4"/>
    <n v="560.51"/>
    <n v="0.25"/>
    <x v="1"/>
    <s v="Card"/>
    <n v="10"/>
    <n v="3.5"/>
    <n v="1681.53"/>
    <n v="1681.53"/>
  </r>
  <r>
    <x v="319"/>
    <s v="11/16/2022"/>
    <x v="319"/>
    <n v="1751"/>
    <x v="3"/>
    <x v="3"/>
    <x v="1"/>
    <s v="East"/>
    <n v="1"/>
    <n v="153.6"/>
    <n v="0.1"/>
    <x v="2"/>
    <s v="COD"/>
    <n v="3"/>
    <n v="1.8"/>
    <n v="138.24"/>
    <n v="138.24"/>
  </r>
  <r>
    <x v="320"/>
    <s v="11/17/2022"/>
    <x v="320"/>
    <n v="1143"/>
    <x v="3"/>
    <x v="3"/>
    <x v="1"/>
    <s v="East"/>
    <n v="2"/>
    <n v="420.78"/>
    <n v="0.06"/>
    <x v="2"/>
    <s v="COD"/>
    <n v="8"/>
    <n v="3.2"/>
    <n v="791.07"/>
    <n v="791.07"/>
  </r>
  <r>
    <x v="321"/>
    <s v="11/18/2022"/>
    <x v="321"/>
    <n v="1608"/>
    <x v="2"/>
    <x v="2"/>
    <x v="2"/>
    <s v="West"/>
    <n v="7"/>
    <n v="585.42999999999995"/>
    <n v="0.05"/>
    <x v="1"/>
    <s v="Card"/>
    <n v="10"/>
    <n v="3.2"/>
    <n v="3893.11"/>
    <n v="3893.11"/>
  </r>
  <r>
    <x v="322"/>
    <s v="11/19/2022"/>
    <x v="322"/>
    <n v="1200"/>
    <x v="3"/>
    <x v="3"/>
    <x v="2"/>
    <s v="West"/>
    <n v="6"/>
    <n v="577.92999999999995"/>
    <n v="0.11"/>
    <x v="2"/>
    <s v="COD"/>
    <n v="8"/>
    <n v="1.3"/>
    <n v="3086.15"/>
    <n v="3086.15"/>
  </r>
  <r>
    <x v="323"/>
    <s v="11/20/2022"/>
    <x v="323"/>
    <n v="1123"/>
    <x v="3"/>
    <x v="3"/>
    <x v="0"/>
    <s v="South"/>
    <n v="6"/>
    <n v="152.43"/>
    <n v="0.21"/>
    <x v="2"/>
    <s v="COD"/>
    <n v="11"/>
    <n v="2.8"/>
    <n v="722.52"/>
    <n v="722.52"/>
  </r>
  <r>
    <x v="324"/>
    <s v="11/21/2022"/>
    <x v="324"/>
    <n v="1186"/>
    <x v="3"/>
    <x v="3"/>
    <x v="2"/>
    <s v="West"/>
    <n v="6"/>
    <n v="73.69"/>
    <n v="0.13"/>
    <x v="1"/>
    <s v="Card"/>
    <n v="5"/>
    <n v="2.8"/>
    <n v="384.66"/>
    <n v="384.66"/>
  </r>
  <r>
    <x v="325"/>
    <s v="11/22/2022"/>
    <x v="325"/>
    <n v="1325"/>
    <x v="2"/>
    <x v="2"/>
    <x v="1"/>
    <s v="East"/>
    <n v="3"/>
    <n v="101.75"/>
    <n v="0.01"/>
    <x v="2"/>
    <s v="COD"/>
    <n v="5"/>
    <n v="2.2999999999999998"/>
    <n v="302.2"/>
    <n v="302.2"/>
  </r>
  <r>
    <x v="326"/>
    <s v="11/23/2022"/>
    <x v="326"/>
    <n v="1463"/>
    <x v="0"/>
    <x v="0"/>
    <x v="2"/>
    <s v="West"/>
    <n v="7"/>
    <n v="425.69"/>
    <n v="0.03"/>
    <x v="0"/>
    <s v="Wallet"/>
    <n v="8"/>
    <n v="2.1"/>
    <n v="2890.44"/>
    <n v="2890.44"/>
  </r>
  <r>
    <x v="327"/>
    <s v="11/24/2022"/>
    <x v="327"/>
    <n v="1348"/>
    <x v="1"/>
    <x v="1"/>
    <x v="3"/>
    <s v="North"/>
    <n v="3"/>
    <n v="439.57"/>
    <n v="0.1"/>
    <x v="2"/>
    <s v="COD"/>
    <n v="10"/>
    <n v="1.9"/>
    <n v="1186.8399999999999"/>
    <n v="1186.8399999999999"/>
  </r>
  <r>
    <x v="328"/>
    <s v="11/25/2022"/>
    <x v="328"/>
    <n v="1770"/>
    <x v="2"/>
    <x v="2"/>
    <x v="0"/>
    <s v="South"/>
    <n v="1"/>
    <n v="409.43"/>
    <n v="0.23"/>
    <x v="0"/>
    <s v="Wallet"/>
    <n v="5"/>
    <n v="1"/>
    <n v="315.26"/>
    <n v="315.26"/>
  </r>
  <r>
    <x v="329"/>
    <s v="11/26/2022"/>
    <x v="329"/>
    <n v="1659"/>
    <x v="1"/>
    <x v="1"/>
    <x v="0"/>
    <s v="South"/>
    <n v="4"/>
    <n v="211.61"/>
    <n v="0.03"/>
    <x v="1"/>
    <s v="Card"/>
    <n v="9"/>
    <n v="1"/>
    <n v="821.05"/>
    <n v="821.05"/>
  </r>
  <r>
    <x v="330"/>
    <s v="11/27/2022"/>
    <x v="330"/>
    <n v="1763"/>
    <x v="2"/>
    <x v="2"/>
    <x v="2"/>
    <s v="West"/>
    <n v="5"/>
    <n v="114.32"/>
    <n v="0.2"/>
    <x v="2"/>
    <s v="COD"/>
    <n v="1"/>
    <n v="3.4"/>
    <n v="457.28"/>
    <n v="457.28"/>
  </r>
  <r>
    <x v="331"/>
    <s v="11/28/2022"/>
    <x v="331"/>
    <n v="1954"/>
    <x v="2"/>
    <x v="2"/>
    <x v="1"/>
    <s v="East"/>
    <n v="7"/>
    <n v="354.75"/>
    <n v="0.04"/>
    <x v="0"/>
    <s v="Wallet"/>
    <n v="5"/>
    <n v="2.2000000000000002"/>
    <n v="2383.92"/>
    <n v="2383.92"/>
  </r>
  <r>
    <x v="332"/>
    <s v="11/29/2022"/>
    <x v="332"/>
    <n v="1931"/>
    <x v="3"/>
    <x v="3"/>
    <x v="0"/>
    <s v="South"/>
    <n v="1"/>
    <n v="297.95"/>
    <n v="7.0000000000000007E-2"/>
    <x v="1"/>
    <s v="Card"/>
    <n v="3"/>
    <n v="1.7"/>
    <n v="277.08999999999997"/>
    <n v="277.08999999999997"/>
  </r>
  <r>
    <x v="333"/>
    <s v="11/30/2022"/>
    <x v="333"/>
    <n v="1402"/>
    <x v="2"/>
    <x v="2"/>
    <x v="3"/>
    <s v="North"/>
    <n v="5"/>
    <n v="441.37"/>
    <n v="0.06"/>
    <x v="0"/>
    <s v="Wallet"/>
    <n v="3"/>
    <n v="3.7"/>
    <n v="2074.44"/>
    <n v="2074.44"/>
  </r>
  <r>
    <x v="334"/>
    <d v="2022-01-12T00:00:00"/>
    <x v="334"/>
    <n v="1345"/>
    <x v="1"/>
    <x v="1"/>
    <x v="3"/>
    <s v="North"/>
    <n v="1"/>
    <n v="273.2"/>
    <n v="0.02"/>
    <x v="1"/>
    <s v="Card"/>
    <n v="2"/>
    <n v="3.1"/>
    <n v="267.74"/>
    <n v="267.74"/>
  </r>
  <r>
    <x v="335"/>
    <d v="2022-02-12T00:00:00"/>
    <x v="335"/>
    <n v="1962"/>
    <x v="1"/>
    <x v="1"/>
    <x v="0"/>
    <s v="South"/>
    <n v="3"/>
    <n v="213.1"/>
    <n v="0.23"/>
    <x v="0"/>
    <s v="Wallet"/>
    <n v="3"/>
    <n v="4.7"/>
    <n v="492.26"/>
    <n v="492.26"/>
  </r>
  <r>
    <x v="336"/>
    <d v="2022-03-12T00:00:00"/>
    <x v="336"/>
    <n v="1510"/>
    <x v="2"/>
    <x v="2"/>
    <x v="1"/>
    <s v="East"/>
    <n v="6"/>
    <n v="186.68"/>
    <n v="0.16"/>
    <x v="1"/>
    <s v="Card"/>
    <n v="7"/>
    <n v="4.3"/>
    <n v="940.87"/>
    <n v="940.87"/>
  </r>
  <r>
    <x v="337"/>
    <d v="2022-04-12T00:00:00"/>
    <x v="337"/>
    <n v="1146"/>
    <x v="0"/>
    <x v="0"/>
    <x v="1"/>
    <s v="East"/>
    <n v="4"/>
    <n v="138.71"/>
    <n v="0.28999999999999998"/>
    <x v="1"/>
    <s v="Card"/>
    <n v="8"/>
    <n v="3.9"/>
    <n v="393.94"/>
    <n v="393.94"/>
  </r>
  <r>
    <x v="338"/>
    <d v="2022-05-12T00:00:00"/>
    <x v="338"/>
    <n v="1147"/>
    <x v="2"/>
    <x v="2"/>
    <x v="2"/>
    <s v="West"/>
    <n v="3"/>
    <n v="170.46"/>
    <n v="0.03"/>
    <x v="0"/>
    <s v="Wallet"/>
    <n v="8"/>
    <n v="1.5"/>
    <n v="496.04"/>
    <n v="496.04"/>
  </r>
  <r>
    <x v="339"/>
    <d v="2022-06-12T00:00:00"/>
    <x v="339"/>
    <n v="1863"/>
    <x v="2"/>
    <x v="2"/>
    <x v="2"/>
    <s v="West"/>
    <n v="4"/>
    <n v="70.48"/>
    <n v="0.05"/>
    <x v="1"/>
    <s v="Card"/>
    <n v="11"/>
    <n v="3.7"/>
    <n v="267.82"/>
    <n v="267.82"/>
  </r>
  <r>
    <x v="340"/>
    <d v="2022-07-12T00:00:00"/>
    <x v="340"/>
    <n v="1710"/>
    <x v="2"/>
    <x v="2"/>
    <x v="0"/>
    <s v="South"/>
    <n v="7"/>
    <n v="217.91"/>
    <n v="0.11"/>
    <x v="1"/>
    <s v="Card"/>
    <n v="8"/>
    <n v="3.8"/>
    <n v="1357.58"/>
    <n v="1357.58"/>
  </r>
  <r>
    <x v="341"/>
    <d v="2022-08-12T00:00:00"/>
    <x v="341"/>
    <n v="1819"/>
    <x v="2"/>
    <x v="2"/>
    <x v="2"/>
    <s v="West"/>
    <n v="5"/>
    <n v="36.39"/>
    <n v="0.27"/>
    <x v="1"/>
    <s v="Card"/>
    <n v="1"/>
    <n v="4.0999999999999996"/>
    <n v="132.82"/>
    <n v="132.82"/>
  </r>
  <r>
    <x v="342"/>
    <d v="2022-09-12T00:00:00"/>
    <x v="342"/>
    <n v="1488"/>
    <x v="2"/>
    <x v="2"/>
    <x v="2"/>
    <s v="West"/>
    <n v="1"/>
    <n v="124.05"/>
    <n v="0.11"/>
    <x v="2"/>
    <s v="COD"/>
    <n v="11"/>
    <n v="2.1"/>
    <n v="110.4"/>
    <n v="110.4"/>
  </r>
  <r>
    <x v="343"/>
    <d v="2022-10-12T00:00:00"/>
    <x v="343"/>
    <n v="1928"/>
    <x v="3"/>
    <x v="3"/>
    <x v="2"/>
    <s v="West"/>
    <n v="2"/>
    <n v="451.86"/>
    <n v="0.14000000000000001"/>
    <x v="0"/>
    <s v="Wallet"/>
    <n v="7"/>
    <n v="3.6"/>
    <n v="777.2"/>
    <n v="777.2"/>
  </r>
  <r>
    <x v="344"/>
    <d v="2022-11-12T00:00:00"/>
    <x v="344"/>
    <n v="1935"/>
    <x v="0"/>
    <x v="0"/>
    <x v="3"/>
    <s v="North"/>
    <n v="2"/>
    <n v="205.4"/>
    <n v="0.11"/>
    <x v="1"/>
    <s v="Card"/>
    <n v="2"/>
    <n v="3.5"/>
    <n v="365.61"/>
    <n v="365.61"/>
  </r>
  <r>
    <x v="345"/>
    <d v="2022-12-12T00:00:00"/>
    <x v="345"/>
    <n v="1639"/>
    <x v="2"/>
    <x v="2"/>
    <x v="2"/>
    <s v="West"/>
    <n v="4"/>
    <n v="405.92"/>
    <n v="0.03"/>
    <x v="2"/>
    <s v="COD"/>
    <n v="11"/>
    <n v="2.5"/>
    <n v="1574.97"/>
    <n v="1574.97"/>
  </r>
  <r>
    <x v="346"/>
    <s v="12/13/2022"/>
    <x v="346"/>
    <n v="1550"/>
    <x v="3"/>
    <x v="3"/>
    <x v="0"/>
    <s v="South"/>
    <n v="6"/>
    <n v="434.38"/>
    <n v="0.33"/>
    <x v="1"/>
    <s v="Card"/>
    <n v="10"/>
    <n v="3.7"/>
    <n v="1746.21"/>
    <n v="1746.21"/>
  </r>
  <r>
    <x v="347"/>
    <s v="12/14/2022"/>
    <x v="347"/>
    <n v="1337"/>
    <x v="3"/>
    <x v="3"/>
    <x v="1"/>
    <s v="East"/>
    <n v="6"/>
    <n v="354.99"/>
    <n v="0.19"/>
    <x v="2"/>
    <s v="COD"/>
    <n v="4"/>
    <n v="1.3"/>
    <n v="1725.25"/>
    <n v="1725.25"/>
  </r>
  <r>
    <x v="348"/>
    <s v="12/15/2022"/>
    <x v="348"/>
    <n v="1871"/>
    <x v="3"/>
    <x v="3"/>
    <x v="2"/>
    <s v="West"/>
    <n v="4"/>
    <n v="575.84"/>
    <n v="0.28000000000000003"/>
    <x v="1"/>
    <s v="Card"/>
    <n v="5"/>
    <n v="3.6"/>
    <n v="1658.42"/>
    <n v="1658.42"/>
  </r>
  <r>
    <x v="349"/>
    <s v="12/16/2022"/>
    <x v="349"/>
    <n v="1640"/>
    <x v="1"/>
    <x v="1"/>
    <x v="1"/>
    <s v="East"/>
    <n v="3"/>
    <n v="27.54"/>
    <n v="0.23"/>
    <x v="1"/>
    <s v="Card"/>
    <n v="1"/>
    <n v="3.4"/>
    <n v="63.62"/>
    <n v="63.62"/>
  </r>
  <r>
    <x v="350"/>
    <s v="12/17/2022"/>
    <x v="350"/>
    <n v="1778"/>
    <x v="2"/>
    <x v="2"/>
    <x v="2"/>
    <s v="West"/>
    <n v="2"/>
    <n v="447.11"/>
    <n v="0.18"/>
    <x v="1"/>
    <s v="Card"/>
    <n v="4"/>
    <n v="1.8"/>
    <n v="733.26"/>
    <n v="733.26"/>
  </r>
  <r>
    <x v="351"/>
    <s v="12/18/2022"/>
    <x v="351"/>
    <n v="1987"/>
    <x v="2"/>
    <x v="2"/>
    <x v="0"/>
    <s v="South"/>
    <n v="3"/>
    <n v="575.89"/>
    <n v="0.03"/>
    <x v="2"/>
    <s v="COD"/>
    <n v="4"/>
    <n v="4.3"/>
    <n v="1675.84"/>
    <n v="1675.84"/>
  </r>
  <r>
    <x v="352"/>
    <s v="12/19/2022"/>
    <x v="352"/>
    <n v="1952"/>
    <x v="3"/>
    <x v="3"/>
    <x v="3"/>
    <s v="North"/>
    <n v="5"/>
    <n v="519.42999999999995"/>
    <n v="0.22"/>
    <x v="0"/>
    <s v="Wallet"/>
    <n v="9"/>
    <n v="4.5"/>
    <n v="2025.78"/>
    <n v="2025.78"/>
  </r>
  <r>
    <x v="353"/>
    <s v="12/20/2022"/>
    <x v="353"/>
    <n v="1472"/>
    <x v="3"/>
    <x v="3"/>
    <x v="0"/>
    <s v="South"/>
    <n v="2"/>
    <n v="113.22"/>
    <n v="0.05"/>
    <x v="2"/>
    <s v="COD"/>
    <n v="9"/>
    <n v="1.8"/>
    <n v="215.12"/>
    <n v="215.12"/>
  </r>
  <r>
    <x v="354"/>
    <s v="12/21/2022"/>
    <x v="354"/>
    <n v="1945"/>
    <x v="2"/>
    <x v="2"/>
    <x v="3"/>
    <s v="North"/>
    <n v="5"/>
    <n v="206.19"/>
    <n v="0.15"/>
    <x v="1"/>
    <s v="Card"/>
    <n v="11"/>
    <n v="1.3"/>
    <n v="876.31"/>
    <n v="876.31"/>
  </r>
  <r>
    <x v="355"/>
    <s v="12/22/2022"/>
    <x v="355"/>
    <n v="1150"/>
    <x v="1"/>
    <x v="1"/>
    <x v="2"/>
    <s v="West"/>
    <n v="1"/>
    <n v="115.88"/>
    <n v="0.22"/>
    <x v="2"/>
    <s v="COD"/>
    <n v="10"/>
    <n v="3.4"/>
    <n v="90.39"/>
    <n v="90.39"/>
  </r>
  <r>
    <x v="356"/>
    <s v="12/23/2022"/>
    <x v="356"/>
    <n v="1414"/>
    <x v="0"/>
    <x v="0"/>
    <x v="2"/>
    <s v="West"/>
    <n v="3"/>
    <n v="366.77"/>
    <n v="0.27"/>
    <x v="2"/>
    <s v="COD"/>
    <n v="1"/>
    <n v="2.9"/>
    <n v="803.23"/>
    <n v="803.23"/>
  </r>
  <r>
    <x v="357"/>
    <s v="12/24/2022"/>
    <x v="357"/>
    <n v="1989"/>
    <x v="3"/>
    <x v="3"/>
    <x v="3"/>
    <s v="North"/>
    <n v="4"/>
    <n v="431.63"/>
    <n v="0.24"/>
    <x v="1"/>
    <s v="Card"/>
    <n v="8"/>
    <n v="2.7"/>
    <n v="1312.16"/>
    <n v="1312.16"/>
  </r>
  <r>
    <x v="358"/>
    <s v="12/25/2022"/>
    <x v="358"/>
    <n v="1297"/>
    <x v="0"/>
    <x v="0"/>
    <x v="0"/>
    <s v="South"/>
    <n v="2"/>
    <n v="200.49"/>
    <n v="0.24"/>
    <x v="1"/>
    <s v="Card"/>
    <n v="4"/>
    <n v="4"/>
    <n v="304.74"/>
    <n v="304.74"/>
  </r>
  <r>
    <x v="359"/>
    <s v="12/26/2022"/>
    <x v="359"/>
    <n v="1610"/>
    <x v="3"/>
    <x v="3"/>
    <x v="0"/>
    <s v="South"/>
    <n v="3"/>
    <n v="330.61"/>
    <n v="0.05"/>
    <x v="1"/>
    <s v="Card"/>
    <n v="4"/>
    <n v="4.9000000000000004"/>
    <n v="942.24"/>
    <n v="942.24"/>
  </r>
  <r>
    <x v="360"/>
    <s v="12/27/2022"/>
    <x v="360"/>
    <n v="1262"/>
    <x v="1"/>
    <x v="1"/>
    <x v="3"/>
    <s v="North"/>
    <n v="4"/>
    <n v="419.19"/>
    <n v="0.12"/>
    <x v="2"/>
    <s v="COD"/>
    <n v="5"/>
    <n v="2.9"/>
    <n v="1475.55"/>
    <n v="1475.55"/>
  </r>
  <r>
    <x v="361"/>
    <s v="12/28/2022"/>
    <x v="361"/>
    <n v="1763"/>
    <x v="1"/>
    <x v="1"/>
    <x v="2"/>
    <s v="West"/>
    <n v="1"/>
    <n v="261.48"/>
    <n v="0.02"/>
    <x v="2"/>
    <s v="COD"/>
    <n v="2"/>
    <n v="1"/>
    <n v="256.25"/>
    <n v="256.25"/>
  </r>
  <r>
    <x v="362"/>
    <s v="12/29/2022"/>
    <x v="362"/>
    <n v="1143"/>
    <x v="3"/>
    <x v="3"/>
    <x v="3"/>
    <s v="North"/>
    <n v="2"/>
    <n v="514.6"/>
    <n v="0.25"/>
    <x v="2"/>
    <s v="COD"/>
    <n v="1"/>
    <n v="3.4"/>
    <n v="771.9"/>
    <n v="771.9"/>
  </r>
  <r>
    <x v="363"/>
    <s v="12/30/2022"/>
    <x v="363"/>
    <n v="1345"/>
    <x v="2"/>
    <x v="2"/>
    <x v="2"/>
    <s v="West"/>
    <n v="5"/>
    <n v="466.36"/>
    <n v="0.33"/>
    <x v="1"/>
    <s v="Card"/>
    <n v="5"/>
    <n v="3.6"/>
    <n v="1562.31"/>
    <n v="1562.31"/>
  </r>
  <r>
    <x v="364"/>
    <s v="12/31/2022"/>
    <x v="364"/>
    <n v="1623"/>
    <x v="1"/>
    <x v="1"/>
    <x v="3"/>
    <s v="North"/>
    <n v="1"/>
    <n v="52.83"/>
    <n v="0.09"/>
    <x v="1"/>
    <s v="Card"/>
    <n v="7"/>
    <n v="4.3"/>
    <n v="48.08"/>
    <n v="48.08"/>
  </r>
  <r>
    <x v="365"/>
    <d v="2023-01-01T00:00:00"/>
    <x v="365"/>
    <n v="1571"/>
    <x v="3"/>
    <x v="3"/>
    <x v="2"/>
    <s v="West"/>
    <n v="6"/>
    <n v="378.36"/>
    <n v="0.03"/>
    <x v="0"/>
    <s v="Wallet"/>
    <n v="10"/>
    <n v="1.8"/>
    <n v="2202.06"/>
    <n v="2202.06"/>
  </r>
  <r>
    <x v="366"/>
    <d v="2023-02-01T00:00:00"/>
    <x v="366"/>
    <n v="1880"/>
    <x v="2"/>
    <x v="2"/>
    <x v="3"/>
    <s v="North"/>
    <n v="4"/>
    <n v="152.66999999999999"/>
    <n v="0.17"/>
    <x v="1"/>
    <s v="Card"/>
    <n v="9"/>
    <n v="3.1"/>
    <n v="506.86"/>
    <n v="506.86"/>
  </r>
  <r>
    <x v="367"/>
    <d v="2023-03-01T00:00:00"/>
    <x v="367"/>
    <n v="1001"/>
    <x v="3"/>
    <x v="3"/>
    <x v="1"/>
    <s v="East"/>
    <n v="2"/>
    <n v="341.15"/>
    <n v="0.3"/>
    <x v="0"/>
    <s v="Wallet"/>
    <n v="2"/>
    <n v="2.8"/>
    <n v="477.61"/>
    <n v="477.61"/>
  </r>
  <r>
    <x v="368"/>
    <d v="2023-04-01T00:00:00"/>
    <x v="368"/>
    <n v="1896"/>
    <x v="1"/>
    <x v="1"/>
    <x v="2"/>
    <s v="West"/>
    <n v="2"/>
    <n v="574.78"/>
    <n v="0.19"/>
    <x v="2"/>
    <s v="COD"/>
    <n v="8"/>
    <n v="3.7"/>
    <n v="931.14"/>
    <n v="931.14"/>
  </r>
  <r>
    <x v="369"/>
    <d v="2023-05-01T00:00:00"/>
    <x v="369"/>
    <n v="1303"/>
    <x v="0"/>
    <x v="0"/>
    <x v="0"/>
    <s v="South"/>
    <n v="7"/>
    <n v="529.25"/>
    <n v="0.02"/>
    <x v="1"/>
    <s v="Card"/>
    <n v="7"/>
    <n v="1.3"/>
    <n v="3630.66"/>
    <n v="3630.66"/>
  </r>
  <r>
    <x v="370"/>
    <d v="2023-06-01T00:00:00"/>
    <x v="370"/>
    <n v="1253"/>
    <x v="2"/>
    <x v="2"/>
    <x v="3"/>
    <s v="North"/>
    <n v="7"/>
    <n v="251.64"/>
    <n v="0.34"/>
    <x v="2"/>
    <s v="COD"/>
    <n v="2"/>
    <n v="4.5"/>
    <n v="1162.58"/>
    <n v="1162.58"/>
  </r>
  <r>
    <x v="371"/>
    <d v="2023-07-01T00:00:00"/>
    <x v="371"/>
    <n v="1651"/>
    <x v="2"/>
    <x v="2"/>
    <x v="0"/>
    <s v="South"/>
    <n v="1"/>
    <n v="185.54"/>
    <n v="0.28999999999999998"/>
    <x v="0"/>
    <s v="Wallet"/>
    <n v="5"/>
    <n v="3"/>
    <n v="131.72999999999999"/>
    <n v="131.72999999999999"/>
  </r>
  <r>
    <x v="372"/>
    <d v="2023-08-01T00:00:00"/>
    <x v="372"/>
    <n v="1452"/>
    <x v="1"/>
    <x v="1"/>
    <x v="3"/>
    <s v="North"/>
    <n v="2"/>
    <n v="152.13"/>
    <n v="0.05"/>
    <x v="1"/>
    <s v="Card"/>
    <n v="7"/>
    <n v="4.5"/>
    <n v="289.05"/>
    <n v="289.05"/>
  </r>
  <r>
    <x v="373"/>
    <d v="2023-09-01T00:00:00"/>
    <x v="373"/>
    <n v="1036"/>
    <x v="2"/>
    <x v="2"/>
    <x v="0"/>
    <s v="South"/>
    <n v="4"/>
    <n v="326.52"/>
    <n v="0.32"/>
    <x v="0"/>
    <s v="Wallet"/>
    <n v="3"/>
    <n v="2.4"/>
    <n v="888.13"/>
    <n v="888.13"/>
  </r>
  <r>
    <x v="374"/>
    <d v="2023-10-01T00:00:00"/>
    <x v="374"/>
    <n v="1159"/>
    <x v="3"/>
    <x v="3"/>
    <x v="0"/>
    <s v="South"/>
    <n v="1"/>
    <n v="81.84"/>
    <n v="0.16"/>
    <x v="1"/>
    <s v="Card"/>
    <n v="2"/>
    <n v="3.6"/>
    <n v="68.75"/>
    <n v="68.75"/>
  </r>
  <r>
    <x v="375"/>
    <d v="2023-11-01T00:00:00"/>
    <x v="375"/>
    <n v="1008"/>
    <x v="3"/>
    <x v="3"/>
    <x v="3"/>
    <s v="North"/>
    <n v="5"/>
    <n v="336.33"/>
    <n v="0.13"/>
    <x v="2"/>
    <s v="COD"/>
    <n v="6"/>
    <n v="4.8"/>
    <n v="1463.04"/>
    <n v="1463.04"/>
  </r>
  <r>
    <x v="376"/>
    <d v="2023-12-01T00:00:00"/>
    <x v="376"/>
    <n v="1232"/>
    <x v="2"/>
    <x v="2"/>
    <x v="3"/>
    <s v="North"/>
    <n v="1"/>
    <n v="15.78"/>
    <n v="0.16"/>
    <x v="0"/>
    <s v="Wallet"/>
    <n v="10"/>
    <n v="4.8"/>
    <n v="13.26"/>
    <n v="13.26"/>
  </r>
  <r>
    <x v="377"/>
    <s v="1/13/2023"/>
    <x v="377"/>
    <n v="1098"/>
    <x v="1"/>
    <x v="1"/>
    <x v="0"/>
    <s v="South"/>
    <n v="1"/>
    <n v="204.45"/>
    <n v="0.28999999999999998"/>
    <x v="0"/>
    <s v="Wallet"/>
    <n v="6"/>
    <n v="4.8"/>
    <n v="145.16"/>
    <n v="145.16"/>
  </r>
  <r>
    <x v="378"/>
    <s v="1/14/2023"/>
    <x v="378"/>
    <n v="1658"/>
    <x v="1"/>
    <x v="1"/>
    <x v="0"/>
    <s v="South"/>
    <n v="5"/>
    <n v="143.66"/>
    <n v="0.23"/>
    <x v="2"/>
    <s v="COD"/>
    <n v="11"/>
    <n v="1.2"/>
    <n v="553.09"/>
    <n v="553.09"/>
  </r>
  <r>
    <x v="379"/>
    <s v="1/15/2023"/>
    <x v="379"/>
    <n v="1815"/>
    <x v="1"/>
    <x v="1"/>
    <x v="0"/>
    <s v="South"/>
    <n v="6"/>
    <n v="583.16"/>
    <n v="0.02"/>
    <x v="2"/>
    <s v="COD"/>
    <n v="4"/>
    <n v="2.6"/>
    <n v="3428.98"/>
    <n v="3428.98"/>
  </r>
  <r>
    <x v="380"/>
    <s v="1/16/2023"/>
    <x v="380"/>
    <n v="1207"/>
    <x v="0"/>
    <x v="0"/>
    <x v="2"/>
    <s v="West"/>
    <n v="7"/>
    <n v="440.44"/>
    <n v="0.34"/>
    <x v="1"/>
    <s v="Card"/>
    <n v="1"/>
    <n v="1.2"/>
    <n v="2034.83"/>
    <n v="2034.83"/>
  </r>
  <r>
    <x v="381"/>
    <s v="1/17/2023"/>
    <x v="381"/>
    <n v="1130"/>
    <x v="3"/>
    <x v="3"/>
    <x v="2"/>
    <s v="West"/>
    <n v="4"/>
    <n v="219.55"/>
    <n v="0.05"/>
    <x v="1"/>
    <s v="Card"/>
    <n v="5"/>
    <n v="2.2000000000000002"/>
    <n v="834.29"/>
    <n v="834.29"/>
  </r>
  <r>
    <x v="382"/>
    <s v="1/18/2023"/>
    <x v="382"/>
    <n v="1403"/>
    <x v="3"/>
    <x v="3"/>
    <x v="1"/>
    <s v="East"/>
    <n v="6"/>
    <n v="69.31"/>
    <n v="0.26"/>
    <x v="1"/>
    <s v="Card"/>
    <n v="1"/>
    <n v="1.7"/>
    <n v="307.74"/>
    <n v="307.74"/>
  </r>
  <r>
    <x v="383"/>
    <s v="1/19/2023"/>
    <x v="383"/>
    <n v="1151"/>
    <x v="3"/>
    <x v="3"/>
    <x v="2"/>
    <s v="West"/>
    <n v="6"/>
    <n v="317.33"/>
    <n v="0.22"/>
    <x v="1"/>
    <s v="Card"/>
    <n v="11"/>
    <n v="3.5"/>
    <n v="1485.1"/>
    <n v="1485.1"/>
  </r>
  <r>
    <x v="384"/>
    <s v="1/20/2023"/>
    <x v="384"/>
    <n v="1053"/>
    <x v="1"/>
    <x v="1"/>
    <x v="2"/>
    <s v="West"/>
    <n v="6"/>
    <n v="139.87"/>
    <n v="7.0000000000000007E-2"/>
    <x v="1"/>
    <s v="Card"/>
    <n v="11"/>
    <n v="4.0999999999999996"/>
    <n v="780.47"/>
    <n v="780.47"/>
  </r>
  <r>
    <x v="385"/>
    <s v="1/21/2023"/>
    <x v="385"/>
    <n v="1119"/>
    <x v="0"/>
    <x v="0"/>
    <x v="3"/>
    <s v="North"/>
    <n v="7"/>
    <n v="328.81"/>
    <n v="0.06"/>
    <x v="1"/>
    <s v="Card"/>
    <n v="8"/>
    <n v="3.1"/>
    <n v="2163.5700000000002"/>
    <n v="2163.5700000000002"/>
  </r>
  <r>
    <x v="386"/>
    <s v="1/22/2023"/>
    <x v="386"/>
    <n v="1672"/>
    <x v="3"/>
    <x v="3"/>
    <x v="1"/>
    <s v="East"/>
    <n v="3"/>
    <n v="503.69"/>
    <n v="0.3"/>
    <x v="0"/>
    <s v="Wallet"/>
    <n v="2"/>
    <n v="4.2"/>
    <n v="1057.75"/>
    <n v="1057.75"/>
  </r>
  <r>
    <x v="387"/>
    <s v="1/23/2023"/>
    <x v="387"/>
    <n v="1919"/>
    <x v="3"/>
    <x v="3"/>
    <x v="1"/>
    <s v="East"/>
    <n v="7"/>
    <n v="375.24"/>
    <n v="0.15"/>
    <x v="2"/>
    <s v="COD"/>
    <n v="9"/>
    <n v="1.1000000000000001"/>
    <n v="2232.6799999999998"/>
    <n v="2232.6799999999998"/>
  </r>
  <r>
    <x v="388"/>
    <s v="1/24/2023"/>
    <x v="388"/>
    <n v="1627"/>
    <x v="0"/>
    <x v="0"/>
    <x v="2"/>
    <s v="West"/>
    <n v="6"/>
    <n v="385.77"/>
    <n v="0.23"/>
    <x v="1"/>
    <s v="Card"/>
    <n v="9"/>
    <n v="4.3"/>
    <n v="1782.26"/>
    <n v="1782.26"/>
  </r>
  <r>
    <x v="389"/>
    <s v="1/25/2023"/>
    <x v="389"/>
    <n v="1586"/>
    <x v="2"/>
    <x v="2"/>
    <x v="3"/>
    <s v="North"/>
    <n v="3"/>
    <n v="331.5"/>
    <n v="0.18"/>
    <x v="0"/>
    <s v="Wallet"/>
    <n v="3"/>
    <n v="1.7"/>
    <n v="815.49"/>
    <n v="815.49"/>
  </r>
  <r>
    <x v="390"/>
    <s v="1/26/2023"/>
    <x v="390"/>
    <n v="1624"/>
    <x v="3"/>
    <x v="3"/>
    <x v="3"/>
    <s v="North"/>
    <n v="5"/>
    <n v="557.45000000000005"/>
    <n v="0.25"/>
    <x v="1"/>
    <s v="Card"/>
    <n v="6"/>
    <n v="2.8"/>
    <n v="2090.44"/>
    <n v="2090.44"/>
  </r>
  <r>
    <x v="391"/>
    <s v="1/27/2023"/>
    <x v="391"/>
    <n v="1967"/>
    <x v="2"/>
    <x v="2"/>
    <x v="1"/>
    <s v="East"/>
    <n v="7"/>
    <n v="560.16"/>
    <n v="0.17"/>
    <x v="2"/>
    <s v="COD"/>
    <n v="9"/>
    <n v="2.8"/>
    <n v="3254.53"/>
    <n v="3254.53"/>
  </r>
  <r>
    <x v="392"/>
    <s v="1/28/2023"/>
    <x v="392"/>
    <n v="1419"/>
    <x v="2"/>
    <x v="2"/>
    <x v="3"/>
    <s v="North"/>
    <n v="4"/>
    <n v="314.94"/>
    <n v="0.1"/>
    <x v="2"/>
    <s v="COD"/>
    <n v="7"/>
    <n v="4.5"/>
    <n v="1133.78"/>
    <n v="1133.78"/>
  </r>
  <r>
    <x v="393"/>
    <s v="1/29/2023"/>
    <x v="393"/>
    <n v="1421"/>
    <x v="2"/>
    <x v="2"/>
    <x v="0"/>
    <s v="South"/>
    <n v="6"/>
    <n v="193.87"/>
    <n v="0.13"/>
    <x v="1"/>
    <s v="Card"/>
    <n v="4"/>
    <n v="4.9000000000000004"/>
    <n v="1012"/>
    <n v="1012"/>
  </r>
  <r>
    <x v="394"/>
    <s v="1/30/2023"/>
    <x v="394"/>
    <n v="1103"/>
    <x v="0"/>
    <x v="0"/>
    <x v="2"/>
    <s v="West"/>
    <n v="2"/>
    <n v="283.86"/>
    <n v="0.3"/>
    <x v="2"/>
    <s v="COD"/>
    <n v="3"/>
    <n v="2"/>
    <n v="397.4"/>
    <n v="397.4"/>
  </r>
  <r>
    <x v="395"/>
    <s v="1/31/2023"/>
    <x v="395"/>
    <n v="1851"/>
    <x v="0"/>
    <x v="0"/>
    <x v="0"/>
    <s v="South"/>
    <n v="5"/>
    <n v="124.14"/>
    <n v="0.16"/>
    <x v="1"/>
    <s v="Card"/>
    <n v="2"/>
    <n v="1.3"/>
    <n v="521.39"/>
    <n v="521.39"/>
  </r>
  <r>
    <x v="396"/>
    <d v="2023-01-02T00:00:00"/>
    <x v="396"/>
    <n v="1253"/>
    <x v="3"/>
    <x v="3"/>
    <x v="1"/>
    <s v="East"/>
    <n v="3"/>
    <n v="387.26"/>
    <n v="7.0000000000000007E-2"/>
    <x v="1"/>
    <s v="Card"/>
    <n v="10"/>
    <n v="3.6"/>
    <n v="1080.46"/>
    <n v="1080.46"/>
  </r>
  <r>
    <x v="397"/>
    <d v="2023-02-02T00:00:00"/>
    <x v="397"/>
    <n v="1226"/>
    <x v="3"/>
    <x v="3"/>
    <x v="1"/>
    <s v="East"/>
    <n v="7"/>
    <n v="307.55"/>
    <n v="0.33"/>
    <x v="1"/>
    <s v="Card"/>
    <n v="10"/>
    <n v="3"/>
    <n v="1442.41"/>
    <n v="1442.41"/>
  </r>
  <r>
    <x v="398"/>
    <d v="2023-03-02T00:00:00"/>
    <x v="398"/>
    <n v="1111"/>
    <x v="1"/>
    <x v="1"/>
    <x v="3"/>
    <s v="North"/>
    <n v="4"/>
    <n v="75.430000000000007"/>
    <n v="0.28000000000000003"/>
    <x v="0"/>
    <s v="Wallet"/>
    <n v="1"/>
    <n v="3.3"/>
    <n v="217.24"/>
    <n v="217.24"/>
  </r>
  <r>
    <x v="399"/>
    <d v="2023-04-02T00:00:00"/>
    <x v="399"/>
    <n v="1509"/>
    <x v="0"/>
    <x v="0"/>
    <x v="3"/>
    <s v="North"/>
    <n v="1"/>
    <n v="130.62"/>
    <n v="0.02"/>
    <x v="2"/>
    <s v="COD"/>
    <n v="11"/>
    <n v="1.2"/>
    <n v="128.01"/>
    <n v="128.01"/>
  </r>
  <r>
    <x v="400"/>
    <d v="2023-05-02T00:00:00"/>
    <x v="400"/>
    <n v="1472"/>
    <x v="1"/>
    <x v="1"/>
    <x v="1"/>
    <s v="East"/>
    <n v="4"/>
    <n v="295.58"/>
    <n v="0.35"/>
    <x v="2"/>
    <s v="COD"/>
    <n v="10"/>
    <n v="4.0999999999999996"/>
    <n v="768.51"/>
    <n v="768.51"/>
  </r>
  <r>
    <x v="401"/>
    <d v="2023-06-02T00:00:00"/>
    <x v="401"/>
    <n v="1098"/>
    <x v="1"/>
    <x v="1"/>
    <x v="1"/>
    <s v="East"/>
    <n v="4"/>
    <n v="534.24"/>
    <n v="0.24"/>
    <x v="2"/>
    <s v="COD"/>
    <n v="11"/>
    <n v="1.9"/>
    <n v="1624.09"/>
    <n v="1624.09"/>
  </r>
  <r>
    <x v="402"/>
    <d v="2023-07-02T00:00:00"/>
    <x v="402"/>
    <n v="1152"/>
    <x v="2"/>
    <x v="2"/>
    <x v="0"/>
    <s v="South"/>
    <n v="6"/>
    <n v="346.34"/>
    <n v="0.06"/>
    <x v="1"/>
    <s v="Card"/>
    <n v="1"/>
    <n v="2.2999999999999998"/>
    <n v="1953.36"/>
    <n v="1953.36"/>
  </r>
  <r>
    <x v="403"/>
    <d v="2023-08-02T00:00:00"/>
    <x v="403"/>
    <n v="1860"/>
    <x v="3"/>
    <x v="3"/>
    <x v="0"/>
    <s v="South"/>
    <n v="6"/>
    <n v="413.7"/>
    <n v="0.08"/>
    <x v="2"/>
    <s v="COD"/>
    <n v="4"/>
    <n v="1.9"/>
    <n v="2283.62"/>
    <n v="2283.62"/>
  </r>
  <r>
    <x v="404"/>
    <d v="2023-09-02T00:00:00"/>
    <x v="404"/>
    <n v="1913"/>
    <x v="3"/>
    <x v="3"/>
    <x v="3"/>
    <s v="North"/>
    <n v="7"/>
    <n v="213.33"/>
    <n v="0.24"/>
    <x v="1"/>
    <s v="Card"/>
    <n v="4"/>
    <n v="4.8"/>
    <n v="1134.92"/>
    <n v="1134.92"/>
  </r>
  <r>
    <x v="405"/>
    <d v="2023-10-02T00:00:00"/>
    <x v="405"/>
    <n v="1895"/>
    <x v="1"/>
    <x v="1"/>
    <x v="0"/>
    <s v="South"/>
    <n v="7"/>
    <n v="349.28"/>
    <n v="0.27"/>
    <x v="1"/>
    <s v="Card"/>
    <n v="9"/>
    <n v="1.7"/>
    <n v="1784.82"/>
    <n v="1784.82"/>
  </r>
  <r>
    <x v="406"/>
    <d v="2023-11-02T00:00:00"/>
    <x v="406"/>
    <n v="1877"/>
    <x v="2"/>
    <x v="2"/>
    <x v="3"/>
    <s v="North"/>
    <n v="3"/>
    <n v="276.72000000000003"/>
    <n v="0.08"/>
    <x v="2"/>
    <s v="COD"/>
    <n v="10"/>
    <n v="3.9"/>
    <n v="763.75"/>
    <n v="763.75"/>
  </r>
  <r>
    <x v="407"/>
    <d v="2023-12-02T00:00:00"/>
    <x v="407"/>
    <n v="1337"/>
    <x v="3"/>
    <x v="3"/>
    <x v="3"/>
    <s v="North"/>
    <n v="7"/>
    <n v="400.59"/>
    <n v="0.09"/>
    <x v="1"/>
    <s v="Card"/>
    <n v="1"/>
    <n v="2"/>
    <n v="2551.7600000000002"/>
    <n v="2551.7600000000002"/>
  </r>
  <r>
    <x v="408"/>
    <s v="2/13/2023"/>
    <x v="408"/>
    <n v="1705"/>
    <x v="2"/>
    <x v="2"/>
    <x v="2"/>
    <s v="West"/>
    <n v="3"/>
    <n v="44.59"/>
    <n v="0.11"/>
    <x v="1"/>
    <s v="Card"/>
    <n v="11"/>
    <n v="2.7"/>
    <n v="119.06"/>
    <n v="119.06"/>
  </r>
  <r>
    <x v="409"/>
    <s v="2/14/2023"/>
    <x v="409"/>
    <n v="1821"/>
    <x v="3"/>
    <x v="3"/>
    <x v="3"/>
    <s v="North"/>
    <n v="6"/>
    <n v="303.58"/>
    <n v="0.21"/>
    <x v="0"/>
    <s v="Wallet"/>
    <n v="4"/>
    <n v="5"/>
    <n v="1438.97"/>
    <n v="1438.97"/>
  </r>
  <r>
    <x v="410"/>
    <s v="2/15/2023"/>
    <x v="410"/>
    <n v="1162"/>
    <x v="0"/>
    <x v="0"/>
    <x v="0"/>
    <s v="South"/>
    <n v="6"/>
    <n v="188.16"/>
    <n v="0.06"/>
    <x v="2"/>
    <s v="COD"/>
    <n v="3"/>
    <n v="1.4"/>
    <n v="1061.22"/>
    <n v="1061.22"/>
  </r>
  <r>
    <x v="411"/>
    <s v="2/16/2023"/>
    <x v="411"/>
    <n v="1719"/>
    <x v="1"/>
    <x v="1"/>
    <x v="1"/>
    <s v="East"/>
    <n v="2"/>
    <n v="205.82"/>
    <n v="0.04"/>
    <x v="2"/>
    <s v="COD"/>
    <n v="9"/>
    <n v="4.5"/>
    <n v="395.17"/>
    <n v="395.17"/>
  </r>
  <r>
    <x v="412"/>
    <s v="2/17/2023"/>
    <x v="412"/>
    <n v="1956"/>
    <x v="2"/>
    <x v="2"/>
    <x v="1"/>
    <s v="East"/>
    <n v="2"/>
    <n v="577.14"/>
    <n v="0.24"/>
    <x v="1"/>
    <s v="Card"/>
    <n v="5"/>
    <n v="4.8"/>
    <n v="877.25"/>
    <n v="877.25"/>
  </r>
  <r>
    <x v="413"/>
    <s v="2/18/2023"/>
    <x v="413"/>
    <n v="1680"/>
    <x v="3"/>
    <x v="3"/>
    <x v="0"/>
    <s v="South"/>
    <n v="5"/>
    <n v="121.88"/>
    <n v="0.27"/>
    <x v="1"/>
    <s v="Card"/>
    <n v="9"/>
    <n v="3.8"/>
    <n v="444.86"/>
    <n v="444.86"/>
  </r>
  <r>
    <x v="414"/>
    <s v="2/19/2023"/>
    <x v="414"/>
    <n v="1995"/>
    <x v="3"/>
    <x v="3"/>
    <x v="1"/>
    <s v="East"/>
    <n v="6"/>
    <n v="197.08"/>
    <n v="0.18"/>
    <x v="2"/>
    <s v="COD"/>
    <n v="10"/>
    <n v="1"/>
    <n v="969.63"/>
    <n v="969.63"/>
  </r>
  <r>
    <x v="415"/>
    <s v="2/20/2023"/>
    <x v="415"/>
    <n v="1160"/>
    <x v="1"/>
    <x v="1"/>
    <x v="3"/>
    <s v="North"/>
    <n v="1"/>
    <n v="313.29000000000002"/>
    <n v="0.13"/>
    <x v="2"/>
    <s v="COD"/>
    <n v="6"/>
    <n v="4.3"/>
    <n v="272.56"/>
    <n v="272.56"/>
  </r>
  <r>
    <x v="416"/>
    <s v="2/21/2023"/>
    <x v="416"/>
    <n v="1579"/>
    <x v="0"/>
    <x v="0"/>
    <x v="1"/>
    <s v="East"/>
    <n v="2"/>
    <n v="519.87"/>
    <n v="0.15"/>
    <x v="2"/>
    <s v="COD"/>
    <n v="11"/>
    <n v="4.5"/>
    <n v="883.78"/>
    <n v="883.78"/>
  </r>
  <r>
    <x v="417"/>
    <s v="2/22/2023"/>
    <x v="417"/>
    <n v="1800"/>
    <x v="2"/>
    <x v="2"/>
    <x v="0"/>
    <s v="South"/>
    <n v="3"/>
    <n v="258.75"/>
    <n v="0.14000000000000001"/>
    <x v="0"/>
    <s v="Wallet"/>
    <n v="9"/>
    <n v="4.9000000000000004"/>
    <n v="667.58"/>
    <n v="667.58"/>
  </r>
  <r>
    <x v="418"/>
    <s v="2/23/2023"/>
    <x v="418"/>
    <n v="1397"/>
    <x v="1"/>
    <x v="1"/>
    <x v="1"/>
    <s v="East"/>
    <n v="4"/>
    <n v="450.16"/>
    <n v="0.34"/>
    <x v="0"/>
    <s v="Wallet"/>
    <n v="1"/>
    <n v="4.4000000000000004"/>
    <n v="1188.42"/>
    <n v="1188.42"/>
  </r>
  <r>
    <x v="419"/>
    <s v="2/24/2023"/>
    <x v="419"/>
    <n v="1276"/>
    <x v="3"/>
    <x v="3"/>
    <x v="3"/>
    <s v="North"/>
    <n v="7"/>
    <n v="515.98"/>
    <n v="0.27"/>
    <x v="1"/>
    <s v="Card"/>
    <n v="4"/>
    <n v="2.8"/>
    <n v="2636.66"/>
    <n v="2636.66"/>
  </r>
  <r>
    <x v="420"/>
    <s v="2/25/2023"/>
    <x v="420"/>
    <n v="1815"/>
    <x v="0"/>
    <x v="0"/>
    <x v="3"/>
    <s v="North"/>
    <n v="7"/>
    <n v="196.36"/>
    <n v="7.0000000000000007E-2"/>
    <x v="0"/>
    <s v="Wallet"/>
    <n v="4"/>
    <n v="3.8"/>
    <n v="1278.3"/>
    <n v="1278.3"/>
  </r>
  <r>
    <x v="421"/>
    <s v="2/26/2023"/>
    <x v="421"/>
    <n v="1915"/>
    <x v="2"/>
    <x v="2"/>
    <x v="0"/>
    <s v="South"/>
    <n v="5"/>
    <n v="244.76"/>
    <n v="0.13"/>
    <x v="2"/>
    <s v="COD"/>
    <n v="10"/>
    <n v="2.9"/>
    <n v="1064.71"/>
    <n v="1064.71"/>
  </r>
  <r>
    <x v="422"/>
    <s v="2/27/2023"/>
    <x v="422"/>
    <n v="1503"/>
    <x v="3"/>
    <x v="3"/>
    <x v="0"/>
    <s v="South"/>
    <n v="2"/>
    <n v="223.59"/>
    <n v="0.19"/>
    <x v="2"/>
    <s v="COD"/>
    <n v="10"/>
    <n v="2.4"/>
    <n v="362.22"/>
    <n v="362.22"/>
  </r>
  <r>
    <x v="423"/>
    <s v="2/28/2023"/>
    <x v="423"/>
    <n v="1895"/>
    <x v="1"/>
    <x v="1"/>
    <x v="0"/>
    <s v="South"/>
    <n v="4"/>
    <n v="502.22"/>
    <n v="0.21"/>
    <x v="1"/>
    <s v="Card"/>
    <n v="6"/>
    <n v="3.5"/>
    <n v="1587.02"/>
    <n v="1587.02"/>
  </r>
  <r>
    <x v="424"/>
    <d v="2023-01-03T00:00:00"/>
    <x v="424"/>
    <n v="1391"/>
    <x v="1"/>
    <x v="1"/>
    <x v="2"/>
    <s v="West"/>
    <n v="4"/>
    <n v="40.94"/>
    <n v="0.16"/>
    <x v="2"/>
    <s v="COD"/>
    <n v="10"/>
    <n v="4.0999999999999996"/>
    <n v="137.56"/>
    <n v="137.56"/>
  </r>
  <r>
    <x v="425"/>
    <d v="2023-02-03T00:00:00"/>
    <x v="425"/>
    <n v="1134"/>
    <x v="2"/>
    <x v="2"/>
    <x v="2"/>
    <s v="West"/>
    <n v="2"/>
    <n v="195.43"/>
    <n v="0.28000000000000003"/>
    <x v="0"/>
    <s v="Wallet"/>
    <n v="1"/>
    <n v="3.5"/>
    <n v="281.42"/>
    <n v="281.42"/>
  </r>
  <r>
    <x v="426"/>
    <d v="2023-03-03T00:00:00"/>
    <x v="426"/>
    <n v="1194"/>
    <x v="0"/>
    <x v="0"/>
    <x v="3"/>
    <s v="North"/>
    <n v="1"/>
    <n v="412.45"/>
    <n v="0.27"/>
    <x v="2"/>
    <s v="COD"/>
    <n v="10"/>
    <n v="4.3"/>
    <n v="301.08999999999997"/>
    <n v="301.08999999999997"/>
  </r>
  <r>
    <x v="427"/>
    <d v="2023-04-03T00:00:00"/>
    <x v="427"/>
    <n v="1400"/>
    <x v="2"/>
    <x v="2"/>
    <x v="2"/>
    <s v="West"/>
    <n v="1"/>
    <n v="345.78"/>
    <n v="0.18"/>
    <x v="2"/>
    <s v="COD"/>
    <n v="5"/>
    <n v="1.7"/>
    <n v="283.54000000000002"/>
    <n v="283.54000000000002"/>
  </r>
  <r>
    <x v="428"/>
    <d v="2023-05-03T00:00:00"/>
    <x v="428"/>
    <n v="1639"/>
    <x v="2"/>
    <x v="2"/>
    <x v="2"/>
    <s v="West"/>
    <n v="5"/>
    <n v="270.23"/>
    <n v="0.3"/>
    <x v="1"/>
    <s v="Card"/>
    <n v="3"/>
    <n v="2.5"/>
    <n v="945.8"/>
    <n v="945.81"/>
  </r>
  <r>
    <x v="429"/>
    <d v="2023-06-03T00:00:00"/>
    <x v="429"/>
    <n v="1032"/>
    <x v="2"/>
    <x v="2"/>
    <x v="1"/>
    <s v="East"/>
    <n v="1"/>
    <n v="330.87"/>
    <n v="0.26"/>
    <x v="1"/>
    <s v="Card"/>
    <n v="1"/>
    <n v="2.2999999999999998"/>
    <n v="244.84"/>
    <n v="244.84"/>
  </r>
  <r>
    <x v="430"/>
    <d v="2023-07-03T00:00:00"/>
    <x v="430"/>
    <n v="1687"/>
    <x v="0"/>
    <x v="0"/>
    <x v="2"/>
    <s v="West"/>
    <n v="5"/>
    <n v="130.59"/>
    <n v="0.27"/>
    <x v="1"/>
    <s v="Card"/>
    <n v="6"/>
    <n v="1.8"/>
    <n v="476.65"/>
    <n v="476.65"/>
  </r>
  <r>
    <x v="431"/>
    <d v="2023-08-03T00:00:00"/>
    <x v="431"/>
    <n v="1459"/>
    <x v="3"/>
    <x v="3"/>
    <x v="1"/>
    <s v="East"/>
    <n v="3"/>
    <n v="266.97000000000003"/>
    <n v="0.33"/>
    <x v="1"/>
    <s v="Card"/>
    <n v="3"/>
    <n v="2.8"/>
    <n v="536.61"/>
    <n v="536.61"/>
  </r>
  <r>
    <x v="432"/>
    <d v="2023-09-03T00:00:00"/>
    <x v="432"/>
    <n v="1954"/>
    <x v="3"/>
    <x v="3"/>
    <x v="0"/>
    <s v="South"/>
    <n v="2"/>
    <n v="308.5"/>
    <n v="0.09"/>
    <x v="2"/>
    <s v="COD"/>
    <n v="4"/>
    <n v="4.8"/>
    <n v="561.47"/>
    <n v="561.47"/>
  </r>
  <r>
    <x v="433"/>
    <d v="2023-10-03T00:00:00"/>
    <x v="433"/>
    <n v="1882"/>
    <x v="2"/>
    <x v="2"/>
    <x v="1"/>
    <s v="East"/>
    <n v="4"/>
    <n v="542.20000000000005"/>
    <n v="0.09"/>
    <x v="1"/>
    <s v="Card"/>
    <n v="9"/>
    <n v="3.2"/>
    <n v="1973.61"/>
    <n v="1973.61"/>
  </r>
  <r>
    <x v="434"/>
    <d v="2023-11-03T00:00:00"/>
    <x v="434"/>
    <n v="1469"/>
    <x v="1"/>
    <x v="1"/>
    <x v="1"/>
    <s v="East"/>
    <n v="5"/>
    <n v="167.59"/>
    <n v="0.31"/>
    <x v="2"/>
    <s v="COD"/>
    <n v="2"/>
    <n v="2.1"/>
    <n v="578.19000000000005"/>
    <n v="578.19000000000005"/>
  </r>
  <r>
    <x v="435"/>
    <d v="2023-12-03T00:00:00"/>
    <x v="435"/>
    <n v="1374"/>
    <x v="1"/>
    <x v="1"/>
    <x v="0"/>
    <s v="South"/>
    <n v="7"/>
    <n v="522.67999999999995"/>
    <n v="0.27"/>
    <x v="1"/>
    <s v="Card"/>
    <n v="1"/>
    <n v="2.4"/>
    <n v="2670.89"/>
    <n v="2670.89"/>
  </r>
  <r>
    <x v="436"/>
    <s v="3/13/2023"/>
    <x v="436"/>
    <n v="1021"/>
    <x v="3"/>
    <x v="3"/>
    <x v="0"/>
    <s v="South"/>
    <n v="1"/>
    <n v="391.88"/>
    <n v="0.32"/>
    <x v="1"/>
    <s v="Card"/>
    <n v="10"/>
    <n v="3.5"/>
    <n v="266.48"/>
    <n v="266.48"/>
  </r>
  <r>
    <x v="437"/>
    <s v="3/14/2023"/>
    <x v="437"/>
    <n v="1749"/>
    <x v="0"/>
    <x v="0"/>
    <x v="3"/>
    <s v="North"/>
    <n v="7"/>
    <n v="26.9"/>
    <n v="0.02"/>
    <x v="1"/>
    <s v="Card"/>
    <n v="6"/>
    <n v="2.4"/>
    <n v="184.53"/>
    <n v="184.53"/>
  </r>
  <r>
    <x v="438"/>
    <s v="3/15/2023"/>
    <x v="438"/>
    <n v="1669"/>
    <x v="2"/>
    <x v="2"/>
    <x v="3"/>
    <s v="North"/>
    <n v="5"/>
    <n v="438.91"/>
    <n v="0.22"/>
    <x v="0"/>
    <s v="Wallet"/>
    <n v="1"/>
    <n v="3.2"/>
    <n v="1711.75"/>
    <n v="1711.75"/>
  </r>
  <r>
    <x v="439"/>
    <s v="3/16/2023"/>
    <x v="439"/>
    <n v="1037"/>
    <x v="3"/>
    <x v="3"/>
    <x v="3"/>
    <s v="North"/>
    <n v="6"/>
    <n v="35.799999999999997"/>
    <n v="0.05"/>
    <x v="1"/>
    <s v="Card"/>
    <n v="1"/>
    <n v="2.1"/>
    <n v="204.06"/>
    <n v="204.06"/>
  </r>
  <r>
    <x v="440"/>
    <s v="3/17/2023"/>
    <x v="440"/>
    <n v="1229"/>
    <x v="2"/>
    <x v="2"/>
    <x v="3"/>
    <s v="North"/>
    <n v="5"/>
    <n v="598.47"/>
    <n v="0.18"/>
    <x v="1"/>
    <s v="Card"/>
    <n v="7"/>
    <n v="2.4"/>
    <n v="2453.73"/>
    <n v="2453.73"/>
  </r>
  <r>
    <x v="441"/>
    <s v="3/18/2023"/>
    <x v="441"/>
    <n v="1364"/>
    <x v="1"/>
    <x v="1"/>
    <x v="1"/>
    <s v="East"/>
    <n v="1"/>
    <n v="525.49"/>
    <n v="0.05"/>
    <x v="0"/>
    <s v="Wallet"/>
    <n v="2"/>
    <n v="3.8"/>
    <n v="499.22"/>
    <n v="499.22"/>
  </r>
  <r>
    <x v="442"/>
    <s v="3/19/2023"/>
    <x v="442"/>
    <n v="1562"/>
    <x v="2"/>
    <x v="2"/>
    <x v="1"/>
    <s v="East"/>
    <n v="6"/>
    <n v="188.95"/>
    <n v="0.04"/>
    <x v="0"/>
    <s v="Wallet"/>
    <n v="4"/>
    <n v="3.3"/>
    <n v="1088.3499999999999"/>
    <n v="1088.3499999999999"/>
  </r>
  <r>
    <x v="443"/>
    <s v="3/20/2023"/>
    <x v="443"/>
    <n v="1437"/>
    <x v="2"/>
    <x v="2"/>
    <x v="3"/>
    <s v="North"/>
    <n v="6"/>
    <n v="165.59"/>
    <n v="0"/>
    <x v="2"/>
    <s v="COD"/>
    <n v="4"/>
    <n v="1.4"/>
    <n v="993.54"/>
    <n v="993.54"/>
  </r>
  <r>
    <x v="444"/>
    <s v="3/21/2023"/>
    <x v="444"/>
    <n v="1775"/>
    <x v="1"/>
    <x v="1"/>
    <x v="2"/>
    <s v="West"/>
    <n v="1"/>
    <n v="238.14"/>
    <n v="0.22"/>
    <x v="1"/>
    <s v="Card"/>
    <n v="2"/>
    <n v="4.9000000000000004"/>
    <n v="185.75"/>
    <n v="185.75"/>
  </r>
  <r>
    <x v="445"/>
    <s v="3/22/2023"/>
    <x v="445"/>
    <n v="1282"/>
    <x v="1"/>
    <x v="1"/>
    <x v="3"/>
    <s v="North"/>
    <n v="6"/>
    <n v="223.36"/>
    <n v="0.13"/>
    <x v="1"/>
    <s v="Card"/>
    <n v="6"/>
    <n v="1.2"/>
    <n v="1165.94"/>
    <n v="1165.94"/>
  </r>
  <r>
    <x v="446"/>
    <s v="3/23/2023"/>
    <x v="446"/>
    <n v="1026"/>
    <x v="2"/>
    <x v="2"/>
    <x v="2"/>
    <s v="West"/>
    <n v="2"/>
    <n v="232.82"/>
    <n v="0.04"/>
    <x v="0"/>
    <s v="Wallet"/>
    <n v="10"/>
    <n v="1.3"/>
    <n v="447.01"/>
    <n v="447.01"/>
  </r>
  <r>
    <x v="447"/>
    <s v="3/24/2023"/>
    <x v="447"/>
    <n v="1225"/>
    <x v="3"/>
    <x v="3"/>
    <x v="0"/>
    <s v="South"/>
    <n v="4"/>
    <n v="201.19"/>
    <n v="0.11"/>
    <x v="0"/>
    <s v="Wallet"/>
    <n v="2"/>
    <n v="3.8"/>
    <n v="716.24"/>
    <n v="716.24"/>
  </r>
  <r>
    <x v="448"/>
    <s v="3/25/2023"/>
    <x v="448"/>
    <n v="1276"/>
    <x v="1"/>
    <x v="1"/>
    <x v="1"/>
    <s v="East"/>
    <n v="7"/>
    <n v="378.36"/>
    <n v="0.06"/>
    <x v="2"/>
    <s v="COD"/>
    <n v="8"/>
    <n v="3.8"/>
    <n v="2489.61"/>
    <n v="2489.61"/>
  </r>
  <r>
    <x v="449"/>
    <s v="3/26/2023"/>
    <x v="449"/>
    <n v="1797"/>
    <x v="2"/>
    <x v="2"/>
    <x v="1"/>
    <s v="East"/>
    <n v="2"/>
    <n v="111.09"/>
    <n v="0.33"/>
    <x v="1"/>
    <s v="Card"/>
    <n v="4"/>
    <n v="1.1000000000000001"/>
    <n v="148.86000000000001"/>
    <n v="148.86000000000001"/>
  </r>
  <r>
    <x v="450"/>
    <s v="3/27/2023"/>
    <x v="450"/>
    <n v="1608"/>
    <x v="3"/>
    <x v="3"/>
    <x v="2"/>
    <s v="West"/>
    <n v="2"/>
    <n v="509.9"/>
    <n v="0.11"/>
    <x v="1"/>
    <s v="Card"/>
    <n v="1"/>
    <n v="3.6"/>
    <n v="907.62"/>
    <n v="907.62"/>
  </r>
  <r>
    <x v="451"/>
    <s v="3/28/2023"/>
    <x v="451"/>
    <n v="1283"/>
    <x v="2"/>
    <x v="2"/>
    <x v="3"/>
    <s v="North"/>
    <n v="1"/>
    <n v="490.26"/>
    <n v="0.12"/>
    <x v="1"/>
    <s v="Card"/>
    <n v="7"/>
    <n v="1.1000000000000001"/>
    <n v="431.43"/>
    <n v="431.43"/>
  </r>
  <r>
    <x v="452"/>
    <s v="3/29/2023"/>
    <x v="452"/>
    <n v="1878"/>
    <x v="1"/>
    <x v="1"/>
    <x v="1"/>
    <s v="East"/>
    <n v="1"/>
    <n v="293.74"/>
    <n v="0.28999999999999998"/>
    <x v="2"/>
    <s v="COD"/>
    <n v="6"/>
    <n v="4.8"/>
    <n v="208.56"/>
    <n v="208.56"/>
  </r>
  <r>
    <x v="453"/>
    <s v="3/30/2023"/>
    <x v="453"/>
    <n v="1959"/>
    <x v="3"/>
    <x v="3"/>
    <x v="2"/>
    <s v="West"/>
    <n v="7"/>
    <n v="513.85"/>
    <n v="0.23"/>
    <x v="1"/>
    <s v="Card"/>
    <n v="6"/>
    <n v="3.8"/>
    <n v="2769.65"/>
    <n v="2769.65"/>
  </r>
  <r>
    <x v="454"/>
    <s v="3/31/2023"/>
    <x v="454"/>
    <n v="1480"/>
    <x v="2"/>
    <x v="2"/>
    <x v="0"/>
    <s v="South"/>
    <n v="4"/>
    <n v="159.58000000000001"/>
    <n v="0.25"/>
    <x v="0"/>
    <s v="Wallet"/>
    <n v="11"/>
    <n v="1.7"/>
    <n v="478.74"/>
    <n v="478.74"/>
  </r>
  <r>
    <x v="455"/>
    <d v="2023-01-04T00:00:00"/>
    <x v="455"/>
    <n v="1452"/>
    <x v="2"/>
    <x v="2"/>
    <x v="0"/>
    <s v="South"/>
    <n v="5"/>
    <n v="25.28"/>
    <n v="0.22"/>
    <x v="1"/>
    <s v="Card"/>
    <n v="3"/>
    <n v="1.6"/>
    <n v="98.59"/>
    <n v="98.59"/>
  </r>
  <r>
    <x v="456"/>
    <d v="2023-02-04T00:00:00"/>
    <x v="456"/>
    <n v="1828"/>
    <x v="1"/>
    <x v="1"/>
    <x v="1"/>
    <s v="East"/>
    <n v="2"/>
    <n v="377.24"/>
    <n v="0.33"/>
    <x v="2"/>
    <s v="COD"/>
    <n v="10"/>
    <n v="3.3"/>
    <n v="505.5"/>
    <n v="505.5"/>
  </r>
  <r>
    <x v="457"/>
    <d v="2023-03-04T00:00:00"/>
    <x v="457"/>
    <n v="1815"/>
    <x v="0"/>
    <x v="0"/>
    <x v="3"/>
    <s v="North"/>
    <n v="6"/>
    <n v="282.88"/>
    <n v="7.0000000000000007E-2"/>
    <x v="1"/>
    <s v="Card"/>
    <n v="7"/>
    <n v="3.5"/>
    <n v="1578.47"/>
    <n v="1578.47"/>
  </r>
  <r>
    <x v="458"/>
    <d v="2023-04-04T00:00:00"/>
    <x v="458"/>
    <n v="1658"/>
    <x v="1"/>
    <x v="1"/>
    <x v="2"/>
    <s v="West"/>
    <n v="4"/>
    <n v="346.79"/>
    <n v="0.35"/>
    <x v="2"/>
    <s v="COD"/>
    <n v="6"/>
    <n v="4.3"/>
    <n v="901.65"/>
    <n v="901.65"/>
  </r>
  <r>
    <x v="459"/>
    <d v="2023-05-04T00:00:00"/>
    <x v="459"/>
    <n v="1515"/>
    <x v="3"/>
    <x v="3"/>
    <x v="1"/>
    <s v="East"/>
    <n v="2"/>
    <n v="541.11"/>
    <n v="0.28999999999999998"/>
    <x v="1"/>
    <s v="Card"/>
    <n v="10"/>
    <n v="4.5999999999999996"/>
    <n v="768.38"/>
    <n v="768.38"/>
  </r>
  <r>
    <x v="460"/>
    <d v="2023-06-04T00:00:00"/>
    <x v="460"/>
    <n v="1546"/>
    <x v="1"/>
    <x v="1"/>
    <x v="0"/>
    <s v="South"/>
    <n v="5"/>
    <n v="582.41"/>
    <n v="0.21"/>
    <x v="2"/>
    <s v="COD"/>
    <n v="10"/>
    <n v="2.6"/>
    <n v="2300.52"/>
    <n v="2300.52"/>
  </r>
  <r>
    <x v="461"/>
    <d v="2023-07-04T00:00:00"/>
    <x v="461"/>
    <n v="1191"/>
    <x v="2"/>
    <x v="2"/>
    <x v="3"/>
    <s v="North"/>
    <n v="6"/>
    <n v="386.16"/>
    <n v="0.23"/>
    <x v="2"/>
    <s v="COD"/>
    <n v="9"/>
    <n v="4.4000000000000004"/>
    <n v="1784.06"/>
    <n v="1784.06"/>
  </r>
  <r>
    <x v="462"/>
    <d v="2023-08-04T00:00:00"/>
    <x v="462"/>
    <n v="1048"/>
    <x v="1"/>
    <x v="1"/>
    <x v="2"/>
    <s v="West"/>
    <n v="2"/>
    <n v="461.97"/>
    <n v="0.23"/>
    <x v="1"/>
    <s v="Card"/>
    <n v="3"/>
    <n v="3.2"/>
    <n v="711.43"/>
    <n v="711.43"/>
  </r>
  <r>
    <x v="463"/>
    <d v="2023-09-04T00:00:00"/>
    <x v="463"/>
    <n v="1511"/>
    <x v="3"/>
    <x v="3"/>
    <x v="1"/>
    <s v="East"/>
    <n v="3"/>
    <n v="64.03"/>
    <n v="0.02"/>
    <x v="0"/>
    <s v="Wallet"/>
    <n v="3"/>
    <n v="2.9"/>
    <n v="188.25"/>
    <n v="188.25"/>
  </r>
  <r>
    <x v="464"/>
    <d v="2023-10-04T00:00:00"/>
    <x v="464"/>
    <n v="1016"/>
    <x v="2"/>
    <x v="2"/>
    <x v="2"/>
    <s v="West"/>
    <n v="7"/>
    <n v="109.02"/>
    <n v="0.08"/>
    <x v="2"/>
    <s v="COD"/>
    <n v="4"/>
    <n v="3.8"/>
    <n v="702.09"/>
    <n v="702.09"/>
  </r>
  <r>
    <x v="465"/>
    <d v="2023-11-04T00:00:00"/>
    <x v="465"/>
    <n v="1171"/>
    <x v="2"/>
    <x v="2"/>
    <x v="3"/>
    <s v="North"/>
    <n v="4"/>
    <n v="443.92"/>
    <n v="0.34"/>
    <x v="0"/>
    <s v="Wallet"/>
    <n v="3"/>
    <n v="1.4"/>
    <n v="1171.95"/>
    <n v="1171.95"/>
  </r>
  <r>
    <x v="466"/>
    <d v="2023-12-04T00:00:00"/>
    <x v="466"/>
    <n v="1219"/>
    <x v="2"/>
    <x v="2"/>
    <x v="3"/>
    <s v="North"/>
    <n v="7"/>
    <n v="267.35000000000002"/>
    <n v="0.19"/>
    <x v="0"/>
    <s v="Wallet"/>
    <n v="4"/>
    <n v="2.1"/>
    <n v="1515.87"/>
    <n v="1515.87"/>
  </r>
  <r>
    <x v="467"/>
    <s v="4/13/2023"/>
    <x v="467"/>
    <n v="1157"/>
    <x v="1"/>
    <x v="1"/>
    <x v="0"/>
    <s v="South"/>
    <n v="1"/>
    <n v="275.89"/>
    <n v="0.13"/>
    <x v="0"/>
    <s v="Wallet"/>
    <n v="6"/>
    <n v="4.3"/>
    <n v="240.02"/>
    <n v="240.02"/>
  </r>
  <r>
    <x v="468"/>
    <s v="4/14/2023"/>
    <x v="468"/>
    <n v="1476"/>
    <x v="0"/>
    <x v="0"/>
    <x v="3"/>
    <s v="North"/>
    <n v="2"/>
    <n v="195.54"/>
    <n v="0.27"/>
    <x v="1"/>
    <s v="Card"/>
    <n v="1"/>
    <n v="3"/>
    <n v="285.49"/>
    <n v="285.49"/>
  </r>
  <r>
    <x v="469"/>
    <s v="4/15/2023"/>
    <x v="469"/>
    <n v="1045"/>
    <x v="2"/>
    <x v="2"/>
    <x v="1"/>
    <s v="East"/>
    <n v="6"/>
    <n v="370.3"/>
    <n v="0.18"/>
    <x v="1"/>
    <s v="Card"/>
    <n v="2"/>
    <n v="4.5999999999999996"/>
    <n v="1821.88"/>
    <n v="1821.88"/>
  </r>
  <r>
    <x v="470"/>
    <s v="4/16/2023"/>
    <x v="470"/>
    <n v="1372"/>
    <x v="1"/>
    <x v="1"/>
    <x v="2"/>
    <s v="West"/>
    <n v="6"/>
    <n v="123.32"/>
    <n v="0"/>
    <x v="0"/>
    <s v="Wallet"/>
    <n v="10"/>
    <n v="1.4"/>
    <n v="739.92"/>
    <n v="739.92"/>
  </r>
  <r>
    <x v="471"/>
    <s v="4/17/2023"/>
    <x v="471"/>
    <n v="1517"/>
    <x v="2"/>
    <x v="2"/>
    <x v="3"/>
    <s v="North"/>
    <n v="4"/>
    <n v="381.75"/>
    <n v="0.26"/>
    <x v="2"/>
    <s v="COD"/>
    <n v="6"/>
    <n v="2.2999999999999998"/>
    <n v="1129.98"/>
    <n v="1129.98"/>
  </r>
  <r>
    <x v="472"/>
    <s v="4/18/2023"/>
    <x v="472"/>
    <n v="1098"/>
    <x v="0"/>
    <x v="0"/>
    <x v="3"/>
    <s v="North"/>
    <n v="4"/>
    <n v="116.67"/>
    <n v="0.26"/>
    <x v="1"/>
    <s v="Card"/>
    <n v="6"/>
    <n v="2.4"/>
    <n v="345.34"/>
    <n v="345.34"/>
  </r>
  <r>
    <x v="473"/>
    <s v="4/19/2023"/>
    <x v="473"/>
    <n v="1891"/>
    <x v="2"/>
    <x v="2"/>
    <x v="1"/>
    <s v="East"/>
    <n v="7"/>
    <n v="52.34"/>
    <n v="0.06"/>
    <x v="2"/>
    <s v="COD"/>
    <n v="1"/>
    <n v="2.7"/>
    <n v="344.4"/>
    <n v="344.4"/>
  </r>
  <r>
    <x v="474"/>
    <s v="4/20/2023"/>
    <x v="474"/>
    <n v="1744"/>
    <x v="1"/>
    <x v="1"/>
    <x v="2"/>
    <s v="West"/>
    <n v="6"/>
    <n v="208.26"/>
    <n v="0.33"/>
    <x v="1"/>
    <s v="Card"/>
    <n v="6"/>
    <n v="4.9000000000000004"/>
    <n v="837.21"/>
    <n v="837.21"/>
  </r>
  <r>
    <x v="475"/>
    <s v="4/21/2023"/>
    <x v="475"/>
    <n v="1036"/>
    <x v="3"/>
    <x v="3"/>
    <x v="2"/>
    <s v="West"/>
    <n v="6"/>
    <n v="150.22"/>
    <n v="0.08"/>
    <x v="2"/>
    <s v="COD"/>
    <n v="11"/>
    <n v="2.2000000000000002"/>
    <n v="829.21"/>
    <n v="829.21"/>
  </r>
  <r>
    <x v="476"/>
    <s v="4/22/2023"/>
    <x v="476"/>
    <n v="1279"/>
    <x v="3"/>
    <x v="3"/>
    <x v="0"/>
    <s v="South"/>
    <n v="6"/>
    <n v="535.05999999999995"/>
    <n v="0.16"/>
    <x v="0"/>
    <s v="Wallet"/>
    <n v="9"/>
    <n v="3.1"/>
    <n v="2696.7"/>
    <n v="2696.7"/>
  </r>
  <r>
    <x v="477"/>
    <s v="4/23/2023"/>
    <x v="477"/>
    <n v="1348"/>
    <x v="1"/>
    <x v="1"/>
    <x v="0"/>
    <s v="South"/>
    <n v="2"/>
    <n v="47.15"/>
    <n v="0.04"/>
    <x v="2"/>
    <s v="COD"/>
    <n v="8"/>
    <n v="3.1"/>
    <n v="90.53"/>
    <n v="90.53"/>
  </r>
  <r>
    <x v="478"/>
    <s v="4/24/2023"/>
    <x v="478"/>
    <n v="1496"/>
    <x v="2"/>
    <x v="2"/>
    <x v="2"/>
    <s v="West"/>
    <n v="6"/>
    <n v="118.32"/>
    <n v="0.21"/>
    <x v="1"/>
    <s v="Card"/>
    <n v="10"/>
    <n v="4.0999999999999996"/>
    <n v="560.84"/>
    <n v="560.84"/>
  </r>
  <r>
    <x v="479"/>
    <s v="4/25/2023"/>
    <x v="479"/>
    <n v="1301"/>
    <x v="1"/>
    <x v="1"/>
    <x v="1"/>
    <s v="East"/>
    <n v="1"/>
    <n v="336"/>
    <n v="0.13"/>
    <x v="1"/>
    <s v="Card"/>
    <n v="5"/>
    <n v="3.1"/>
    <n v="292.32"/>
    <n v="292.32"/>
  </r>
  <r>
    <x v="480"/>
    <s v="4/26/2023"/>
    <x v="480"/>
    <n v="1180"/>
    <x v="2"/>
    <x v="2"/>
    <x v="1"/>
    <s v="East"/>
    <n v="6"/>
    <n v="296.42"/>
    <n v="0.12"/>
    <x v="1"/>
    <s v="Card"/>
    <n v="4"/>
    <n v="3.4"/>
    <n v="1565.1"/>
    <n v="1565.1"/>
  </r>
  <r>
    <x v="481"/>
    <s v="4/27/2023"/>
    <x v="481"/>
    <n v="1606"/>
    <x v="2"/>
    <x v="2"/>
    <x v="0"/>
    <s v="South"/>
    <n v="1"/>
    <n v="41.82"/>
    <n v="0.28999999999999998"/>
    <x v="2"/>
    <s v="COD"/>
    <n v="6"/>
    <n v="4"/>
    <n v="29.69"/>
    <n v="29.69"/>
  </r>
  <r>
    <x v="482"/>
    <s v="4/28/2023"/>
    <x v="482"/>
    <n v="1098"/>
    <x v="1"/>
    <x v="1"/>
    <x v="3"/>
    <s v="North"/>
    <n v="2"/>
    <n v="19.239999999999998"/>
    <n v="0"/>
    <x v="1"/>
    <s v="Card"/>
    <n v="11"/>
    <n v="1.4"/>
    <n v="38.479999999999997"/>
    <n v="38.479999999999997"/>
  </r>
  <r>
    <x v="483"/>
    <s v="4/29/2023"/>
    <x v="483"/>
    <n v="1699"/>
    <x v="2"/>
    <x v="2"/>
    <x v="1"/>
    <s v="East"/>
    <n v="4"/>
    <n v="593.02"/>
    <n v="0.28000000000000003"/>
    <x v="2"/>
    <s v="COD"/>
    <n v="5"/>
    <n v="4.9000000000000004"/>
    <n v="1707.9"/>
    <n v="1707.9"/>
  </r>
  <r>
    <x v="484"/>
    <s v="4/30/2023"/>
    <x v="484"/>
    <n v="1992"/>
    <x v="2"/>
    <x v="2"/>
    <x v="3"/>
    <s v="North"/>
    <n v="1"/>
    <n v="400.42"/>
    <n v="0.2"/>
    <x v="2"/>
    <s v="COD"/>
    <n v="6"/>
    <n v="4.4000000000000004"/>
    <n v="320.33999999999997"/>
    <n v="320.33999999999997"/>
  </r>
  <r>
    <x v="485"/>
    <d v="2023-01-05T00:00:00"/>
    <x v="485"/>
    <n v="1115"/>
    <x v="3"/>
    <x v="3"/>
    <x v="1"/>
    <s v="East"/>
    <n v="2"/>
    <n v="228.76"/>
    <n v="0.35"/>
    <x v="2"/>
    <s v="COD"/>
    <n v="10"/>
    <n v="2.6"/>
    <n v="297.39"/>
    <n v="297.39"/>
  </r>
  <r>
    <x v="486"/>
    <d v="2023-02-05T00:00:00"/>
    <x v="486"/>
    <n v="1190"/>
    <x v="0"/>
    <x v="0"/>
    <x v="2"/>
    <s v="West"/>
    <n v="6"/>
    <n v="290.2"/>
    <n v="0.21"/>
    <x v="0"/>
    <s v="Wallet"/>
    <n v="11"/>
    <n v="3.9"/>
    <n v="1375.55"/>
    <n v="1375.55"/>
  </r>
  <r>
    <x v="487"/>
    <d v="2023-03-05T00:00:00"/>
    <x v="487"/>
    <n v="1252"/>
    <x v="1"/>
    <x v="1"/>
    <x v="0"/>
    <s v="South"/>
    <n v="2"/>
    <n v="170.93"/>
    <n v="0.02"/>
    <x v="2"/>
    <s v="COD"/>
    <n v="3"/>
    <n v="4"/>
    <n v="335.02"/>
    <n v="335.02"/>
  </r>
  <r>
    <x v="488"/>
    <d v="2023-04-05T00:00:00"/>
    <x v="488"/>
    <n v="1980"/>
    <x v="2"/>
    <x v="2"/>
    <x v="3"/>
    <s v="North"/>
    <n v="6"/>
    <n v="216.75"/>
    <n v="0.02"/>
    <x v="1"/>
    <s v="Card"/>
    <n v="7"/>
    <n v="4.4000000000000004"/>
    <n v="1274.49"/>
    <n v="1274.49"/>
  </r>
  <r>
    <x v="489"/>
    <d v="2023-05-05T00:00:00"/>
    <x v="489"/>
    <n v="1927"/>
    <x v="2"/>
    <x v="2"/>
    <x v="3"/>
    <s v="North"/>
    <n v="7"/>
    <n v="394.69"/>
    <n v="0.31"/>
    <x v="2"/>
    <s v="COD"/>
    <n v="8"/>
    <n v="1.8"/>
    <n v="1906.35"/>
    <n v="1906.35"/>
  </r>
  <r>
    <x v="490"/>
    <d v="2023-06-05T00:00:00"/>
    <x v="490"/>
    <n v="1982"/>
    <x v="0"/>
    <x v="0"/>
    <x v="2"/>
    <s v="West"/>
    <n v="2"/>
    <n v="531.44000000000005"/>
    <n v="0.28999999999999998"/>
    <x v="2"/>
    <s v="COD"/>
    <n v="5"/>
    <n v="3.8"/>
    <n v="754.64"/>
    <n v="754.64"/>
  </r>
  <r>
    <x v="491"/>
    <d v="2023-07-05T00:00:00"/>
    <x v="491"/>
    <n v="1160"/>
    <x v="2"/>
    <x v="2"/>
    <x v="1"/>
    <s v="East"/>
    <n v="4"/>
    <n v="122.72"/>
    <n v="0.12"/>
    <x v="1"/>
    <s v="Card"/>
    <n v="5"/>
    <n v="1.1000000000000001"/>
    <n v="431.97"/>
    <n v="431.97"/>
  </r>
  <r>
    <x v="492"/>
    <d v="2023-08-05T00:00:00"/>
    <x v="492"/>
    <n v="1255"/>
    <x v="2"/>
    <x v="2"/>
    <x v="3"/>
    <s v="North"/>
    <n v="1"/>
    <n v="506.61"/>
    <n v="0.22"/>
    <x v="2"/>
    <s v="COD"/>
    <n v="4"/>
    <n v="1.5"/>
    <n v="395.16"/>
    <n v="395.16"/>
  </r>
  <r>
    <x v="493"/>
    <d v="2023-09-05T00:00:00"/>
    <x v="493"/>
    <n v="1322"/>
    <x v="1"/>
    <x v="1"/>
    <x v="1"/>
    <s v="East"/>
    <n v="7"/>
    <n v="86.11"/>
    <n v="0.17"/>
    <x v="1"/>
    <s v="Card"/>
    <n v="10"/>
    <n v="4.0999999999999996"/>
    <n v="500.3"/>
    <n v="500.3"/>
  </r>
  <r>
    <x v="494"/>
    <d v="2023-10-05T00:00:00"/>
    <x v="494"/>
    <n v="1127"/>
    <x v="1"/>
    <x v="1"/>
    <x v="2"/>
    <s v="West"/>
    <n v="4"/>
    <n v="140.77000000000001"/>
    <n v="0.34"/>
    <x v="1"/>
    <s v="Card"/>
    <n v="5"/>
    <n v="4.3"/>
    <n v="371.63"/>
    <n v="371.63"/>
  </r>
  <r>
    <x v="495"/>
    <d v="2023-11-05T00:00:00"/>
    <x v="495"/>
    <n v="1017"/>
    <x v="1"/>
    <x v="1"/>
    <x v="0"/>
    <s v="South"/>
    <n v="3"/>
    <n v="36.75"/>
    <n v="0.33"/>
    <x v="0"/>
    <s v="Wallet"/>
    <n v="10"/>
    <n v="3.4"/>
    <n v="73.87"/>
    <n v="73.87"/>
  </r>
  <r>
    <x v="496"/>
    <d v="2023-12-05T00:00:00"/>
    <x v="496"/>
    <n v="1792"/>
    <x v="2"/>
    <x v="2"/>
    <x v="3"/>
    <s v="North"/>
    <n v="6"/>
    <n v="97.37"/>
    <n v="0.34"/>
    <x v="0"/>
    <s v="Wallet"/>
    <n v="11"/>
    <n v="3.3"/>
    <n v="385.59"/>
    <n v="385.59"/>
  </r>
  <r>
    <x v="497"/>
    <s v="5/13/2023"/>
    <x v="497"/>
    <n v="1734"/>
    <x v="2"/>
    <x v="2"/>
    <x v="1"/>
    <s v="East"/>
    <n v="1"/>
    <n v="551.62"/>
    <n v="0.3"/>
    <x v="2"/>
    <s v="COD"/>
    <n v="8"/>
    <n v="4"/>
    <n v="386.13"/>
    <n v="386.13"/>
  </r>
  <r>
    <x v="498"/>
    <s v="5/14/2023"/>
    <x v="498"/>
    <n v="1565"/>
    <x v="0"/>
    <x v="0"/>
    <x v="3"/>
    <s v="North"/>
    <n v="4"/>
    <n v="283.77"/>
    <n v="0.32"/>
    <x v="2"/>
    <s v="COD"/>
    <n v="5"/>
    <n v="4.5999999999999996"/>
    <n v="771.85"/>
    <n v="771.85"/>
  </r>
  <r>
    <x v="499"/>
    <s v="5/15/2023"/>
    <x v="499"/>
    <n v="1569"/>
    <x v="2"/>
    <x v="2"/>
    <x v="1"/>
    <s v="East"/>
    <n v="1"/>
    <n v="60.43"/>
    <n v="0.08"/>
    <x v="0"/>
    <s v="Wallet"/>
    <n v="9"/>
    <n v="2.7"/>
    <n v="55.6"/>
    <n v="55.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5A2A70-B647-4549-BD3E-B6393F920EA1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0:B15" firstHeaderRow="1" firstDataRow="1" firstDataCol="1"/>
  <pivotFields count="20">
    <pivotField showAll="0"/>
    <pivotField showAll="0"/>
    <pivotField numFmtId="14" showAll="0">
      <items count="5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showAll="0"/>
    <pivotField showAll="0"/>
    <pivotField showAll="0"/>
    <pivotField axis="axisRow" showAll="0">
      <items count="5">
        <item x="1"/>
        <item x="3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venue" fld="15" baseField="0" baseItem="0"/>
  </dataFields>
  <formats count="6">
    <format dxfId="28">
      <pivotArea type="all" dataOnly="0" outline="0" fieldPosition="0"/>
    </format>
    <format dxfId="27">
      <pivotArea outline="0" collapsedLevelsAreSubtotals="1" fieldPosition="0"/>
    </format>
    <format dxfId="26">
      <pivotArea field="6" type="button" dataOnly="0" labelOnly="1" outline="0" axis="axisRow" fieldPosition="0"/>
    </format>
    <format dxfId="25">
      <pivotArea dataOnly="0" labelOnly="1" fieldPosition="0">
        <references count="1">
          <reference field="6" count="0"/>
        </references>
      </pivotArea>
    </format>
    <format dxfId="24">
      <pivotArea dataOnly="0" labelOnly="1" grandRow="1" outline="0" fieldPosition="0"/>
    </format>
    <format dxfId="23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95FACD-A808-41B2-B916-93E9388808E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20">
    <pivotField showAll="0"/>
    <pivotField showAll="0"/>
    <pivotField numFmtId="14" showAll="0">
      <items count="5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venue check" fld="16" baseField="0" baseItem="0"/>
  </dataFields>
  <formats count="12">
    <format dxfId="40">
      <pivotArea type="all" dataOnly="0" outline="0" fieldPosition="0"/>
    </format>
    <format dxfId="39">
      <pivotArea outline="0" collapsedLevelsAreSubtotals="1" fieldPosition="0"/>
    </format>
    <format dxfId="38">
      <pivotArea field="5" type="button" dataOnly="0" labelOnly="1" outline="0" axis="axisRow" fieldPosition="0"/>
    </format>
    <format dxfId="37">
      <pivotArea dataOnly="0" labelOnly="1" fieldPosition="0">
        <references count="1">
          <reference field="5" count="0"/>
        </references>
      </pivotArea>
    </format>
    <format dxfId="36">
      <pivotArea dataOnly="0" labelOnly="1" grandRow="1" outline="0" fieldPosition="0"/>
    </format>
    <format dxfId="35">
      <pivotArea dataOnly="0" labelOnly="1" outline="0" axis="axisValues" fieldPosition="0"/>
    </format>
    <format dxfId="34">
      <pivotArea type="all" dataOnly="0" outline="0" fieldPosition="0"/>
    </format>
    <format dxfId="33">
      <pivotArea outline="0" collapsedLevelsAreSubtotals="1" fieldPosition="0"/>
    </format>
    <format dxfId="32">
      <pivotArea field="5" type="button" dataOnly="0" labelOnly="1" outline="0" axis="axisRow" fieldPosition="0"/>
    </format>
    <format dxfId="31">
      <pivotArea dataOnly="0" labelOnly="1" fieldPosition="0">
        <references count="1">
          <reference field="5" count="0"/>
        </references>
      </pivotArea>
    </format>
    <format dxfId="30">
      <pivotArea dataOnly="0" labelOnly="1" grandRow="1" outline="0" fieldPosition="0"/>
    </format>
    <format dxfId="29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48A6F2-9BAE-4BC8-BB57-74A11FB61112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17:I22" firstHeaderRow="0" firstDataRow="1" firstDataCol="1"/>
  <pivotFields count="20">
    <pivotField showAll="0"/>
    <pivotField showAll="0"/>
    <pivotField numFmtId="14" showAll="0">
      <items count="5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showAll="0"/>
    <pivotField showAll="0"/>
    <pivotField showAll="0"/>
    <pivotField axis="axisRow" showAll="0">
      <items count="5">
        <item x="1"/>
        <item x="3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delivery_days" fld="13" subtotal="average" baseField="0" baseItem="0" numFmtId="2"/>
    <dataField name="Average of customer_rating" fld="14" subtotal="average" baseField="0" baseItem="0" numFmtId="2"/>
  </dataFields>
  <formats count="6">
    <format dxfId="46">
      <pivotArea type="all" dataOnly="0" outline="0" fieldPosition="0"/>
    </format>
    <format dxfId="45">
      <pivotArea outline="0" collapsedLevelsAreSubtotals="1" fieldPosition="0"/>
    </format>
    <format dxfId="44">
      <pivotArea field="6" type="button" dataOnly="0" labelOnly="1" outline="0" axis="axisRow" fieldPosition="0"/>
    </format>
    <format dxfId="43">
      <pivotArea dataOnly="0" labelOnly="1" fieldPosition="0">
        <references count="1">
          <reference field="6" count="0"/>
        </references>
      </pivotArea>
    </format>
    <format dxfId="42">
      <pivotArea dataOnly="0" labelOnly="1" grandRow="1" outline="0" fieldPosition="0"/>
    </format>
    <format dxfId="4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7C6274-4258-42BC-BA06-FF42E26083DA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9:L15" firstHeaderRow="1" firstDataRow="2" firstDataCol="1"/>
  <pivotFields count="20">
    <pivotField showAll="0"/>
    <pivotField showAll="0"/>
    <pivotField numFmtId="14" showAll="0">
      <items count="5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axis="axisCol" showAll="0">
      <items count="5">
        <item x="1"/>
        <item x="3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6"/>
  </colFields>
  <colItems count="5">
    <i>
      <x/>
    </i>
    <i>
      <x v="1"/>
    </i>
    <i>
      <x v="2"/>
    </i>
    <i>
      <x v="3"/>
    </i>
    <i t="grand">
      <x/>
    </i>
  </colItems>
  <dataFields count="1">
    <dataField name="Sum of revenue" fld="15" baseField="0" baseItem="0"/>
  </dataFields>
  <formats count="20">
    <format dxfId="66">
      <pivotArea type="all" dataOnly="0" outline="0" fieldPosition="0"/>
    </format>
    <format dxfId="65">
      <pivotArea outline="0" collapsedLevelsAreSubtotals="1" fieldPosition="0"/>
    </format>
    <format dxfId="64">
      <pivotArea type="origin" dataOnly="0" labelOnly="1" outline="0" fieldPosition="0"/>
    </format>
    <format dxfId="63">
      <pivotArea field="6" type="button" dataOnly="0" labelOnly="1" outline="0" axis="axisCol" fieldPosition="0"/>
    </format>
    <format dxfId="62">
      <pivotArea type="topRight" dataOnly="0" labelOnly="1" outline="0" fieldPosition="0"/>
    </format>
    <format dxfId="61">
      <pivotArea field="4" type="button" dataOnly="0" labelOnly="1" outline="0" axis="axisRow" fieldPosition="0"/>
    </format>
    <format dxfId="60">
      <pivotArea dataOnly="0" labelOnly="1" fieldPosition="0">
        <references count="1">
          <reference field="4" count="0"/>
        </references>
      </pivotArea>
    </format>
    <format dxfId="59">
      <pivotArea dataOnly="0" labelOnly="1" grandRow="1" outline="0" fieldPosition="0"/>
    </format>
    <format dxfId="58">
      <pivotArea dataOnly="0" labelOnly="1" fieldPosition="0">
        <references count="1">
          <reference field="6" count="0"/>
        </references>
      </pivotArea>
    </format>
    <format dxfId="57">
      <pivotArea dataOnly="0" labelOnly="1" grandCol="1" outline="0" fieldPosition="0"/>
    </format>
    <format dxfId="56">
      <pivotArea type="all" dataOnly="0" outline="0" fieldPosition="0"/>
    </format>
    <format dxfId="55">
      <pivotArea outline="0" collapsedLevelsAreSubtotals="1" fieldPosition="0"/>
    </format>
    <format dxfId="54">
      <pivotArea type="origin" dataOnly="0" labelOnly="1" outline="0" fieldPosition="0"/>
    </format>
    <format dxfId="53">
      <pivotArea field="6" type="button" dataOnly="0" labelOnly="1" outline="0" axis="axisCol" fieldPosition="0"/>
    </format>
    <format dxfId="52">
      <pivotArea type="topRight" dataOnly="0" labelOnly="1" outline="0" fieldPosition="0"/>
    </format>
    <format dxfId="51">
      <pivotArea field="4" type="button" dataOnly="0" labelOnly="1" outline="0" axis="axisRow" fieldPosition="0"/>
    </format>
    <format dxfId="50">
      <pivotArea dataOnly="0" labelOnly="1" fieldPosition="0">
        <references count="1">
          <reference field="4" count="0"/>
        </references>
      </pivotArea>
    </format>
    <format dxfId="49">
      <pivotArea dataOnly="0" labelOnly="1" grandRow="1" outline="0" fieldPosition="0"/>
    </format>
    <format dxfId="48">
      <pivotArea dataOnly="0" labelOnly="1" fieldPosition="0">
        <references count="1">
          <reference field="6" count="0"/>
        </references>
      </pivotArea>
    </format>
    <format dxfId="47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EBFE46-E6BD-4D5C-BF43-092453168EB2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3:I7" firstHeaderRow="0" firstDataRow="1" firstDataCol="1"/>
  <pivotFields count="20">
    <pivotField dataField="1" showAll="0">
      <items count="5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showAll="0"/>
    <pivotField numFmtId="14" showAll="0">
      <items count="5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dataField="1" showAll="0"/>
    <pivotField showAl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11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order_id" fld="0" baseField="0" baseItem="0"/>
    <dataField name="Sum of revenue" fld="15" baseField="0" baseItem="0"/>
  </dataFields>
  <formats count="6">
    <format dxfId="72">
      <pivotArea type="all" dataOnly="0" outline="0" fieldPosition="0"/>
    </format>
    <format dxfId="71">
      <pivotArea outline="0" collapsedLevelsAreSubtotals="1" fieldPosition="0"/>
    </format>
    <format dxfId="70">
      <pivotArea field="11" type="button" dataOnly="0" labelOnly="1" outline="0" axis="axisRow" fieldPosition="0"/>
    </format>
    <format dxfId="69">
      <pivotArea dataOnly="0" labelOnly="1" fieldPosition="0">
        <references count="1">
          <reference field="11" count="0"/>
        </references>
      </pivotArea>
    </format>
    <format dxfId="68">
      <pivotArea dataOnly="0" labelOnly="1" grandRow="1" outline="0" fieldPosition="0"/>
    </format>
    <format dxfId="6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87DDE3-269B-4329-A5FD-9B225F9B3B35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7:B20" firstHeaderRow="1" firstDataRow="1" firstDataCol="1"/>
  <pivotFields count="20">
    <pivotField showAll="0"/>
    <pivotField showAll="0"/>
    <pivotField axis="axisRow" numFmtId="14" showAll="0">
      <items count="5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5">
        <item sd="0" x="0"/>
        <item sd="0" x="1"/>
        <item sd="0" x="2"/>
        <item sd="0" x="3"/>
        <item t="default"/>
      </items>
    </pivotField>
  </pivotFields>
  <rowFields count="4">
    <field x="19"/>
    <field x="18"/>
    <field x="17"/>
    <field x="2"/>
  </rowFields>
  <rowItems count="3">
    <i>
      <x v="1"/>
    </i>
    <i>
      <x v="2"/>
    </i>
    <i t="grand">
      <x/>
    </i>
  </rowItems>
  <colItems count="1">
    <i/>
  </colItems>
  <dataFields count="1">
    <dataField name="Sum of revenue check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810A793-E7AA-4DA7-903F-CF43C41B4CD3}" name="ecommerce_sales4" displayName="ecommerce_sales4" ref="A1:L501" totalsRowShown="0">
  <autoFilter ref="A1:L501" xr:uid="{1A2EF193-F9C4-43EC-AF1D-ABBC445347DF}"/>
  <tableColumns count="12">
    <tableColumn id="1" xr3:uid="{F18C21F2-115B-4D91-9584-F2C36B3AAD4D}" name="order_id"/>
    <tableColumn id="2" xr3:uid="{A3CC0648-BDA4-4694-AE63-8307FFE9DD9A}" name="order_date"/>
    <tableColumn id="3" xr3:uid="{8EE9A743-5AE9-4C8C-AAB6-F8106E829716}" name="customer_id"/>
    <tableColumn id="4" xr3:uid="{A9321305-F18D-4028-B19D-6247D6AF5C46}" name="product_category"/>
    <tableColumn id="5" xr3:uid="{C4D42214-DF8B-4624-A283-78EA3978F2A9}" name="region"/>
    <tableColumn id="6" xr3:uid="{D625F069-EC1D-4F6B-BD9E-F6C3ED590C2F}" name="quantity"/>
    <tableColumn id="7" xr3:uid="{A9869622-2A30-4D00-9302-2F9D38418616}" name="unit_price"/>
    <tableColumn id="8" xr3:uid="{85D70F27-209F-454F-B76E-D87AAD56D202}" name="discount"/>
    <tableColumn id="9" xr3:uid="{C77ECCE4-8BF8-4879-87DB-1266B55CEB2E}" name="payment_method"/>
    <tableColumn id="10" xr3:uid="{46AC1059-B93B-41C1-9C7C-D2869F4FDC45}" name="delivery_days"/>
    <tableColumn id="11" xr3:uid="{27511F83-F6DA-4D9D-A585-A8D94B309D98}" name="customer_rating"/>
    <tableColumn id="12" xr3:uid="{6F820C00-4DAF-4BC3-9145-63BBE59F998F}" name="reven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A2EF193-F9C4-43EC-AF1D-ABBC445347DF}" name="ecommerce_sales" displayName="ecommerce_sales" ref="A1:Q501" totalsRowShown="0">
  <autoFilter ref="A1:Q501" xr:uid="{1A2EF193-F9C4-43EC-AF1D-ABBC445347DF}"/>
  <tableColumns count="17">
    <tableColumn id="1" xr3:uid="{45035BDA-2B7E-4D71-B154-979E3F8913D5}" name="order_id"/>
    <tableColumn id="2" xr3:uid="{C6DA49C4-7378-4F7B-A9D1-8F975940EAD2}" name="order_date"/>
    <tableColumn id="13" xr3:uid="{28C21D16-2A6F-4827-BAFE-4C8DE1C420DB}" name="order _date_clean" dataDxfId="22">
      <calculatedColumnFormula>DATE(2022,1,1)+A2-10001</calculatedColumnFormula>
    </tableColumn>
    <tableColumn id="3" xr3:uid="{981890F5-2183-4DDA-93E0-5B13206204AE}" name="customer_id"/>
    <tableColumn id="4" xr3:uid="{BFBCE443-54EA-4BE1-97E2-70B687A40BE6}" name="product_category"/>
    <tableColumn id="18" xr3:uid="{AA81FB64-78A0-4A22-816C-57102D9E2F57}" name="product category clean">
      <calculatedColumnFormula>TRIM(PROPER(E2))</calculatedColumnFormula>
    </tableColumn>
    <tableColumn id="5" xr3:uid="{EDA2D63E-DF50-4FE0-90E0-5E5D810ED144}" name="region"/>
    <tableColumn id="17" xr3:uid="{723FB218-1128-4DB9-A0C2-CAD5C104CDFC}" name="region clean">
      <calculatedColumnFormula>TRIM(PROPER(G2))</calculatedColumnFormula>
    </tableColumn>
    <tableColumn id="6" xr3:uid="{95FD205F-E4E9-4E92-AFAF-80FE7E630863}" name="quantity"/>
    <tableColumn id="7" xr3:uid="{E0ED274D-C2A4-4645-A8F0-3B75841F3212}" name="unit_price"/>
    <tableColumn id="8" xr3:uid="{90409435-0CF9-4D02-B28C-79DA24177C5D}" name="discount"/>
    <tableColumn id="20" xr3:uid="{E9D2B180-814B-4544-B2FC-107F3B762323}" name="payment method clean">
      <calculatedColumnFormula>TRIM(PROPER(M2))</calculatedColumnFormula>
    </tableColumn>
    <tableColumn id="9" xr3:uid="{5AEB8EF2-C59A-4736-AC85-71896711206C}" name="payment_method"/>
    <tableColumn id="10" xr3:uid="{A0255BF3-37C9-470C-BD21-256D9CE1FB8E}" name="delivery_days"/>
    <tableColumn id="11" xr3:uid="{CA67177B-5535-49C4-B640-F4BABCE1B43B}" name="customer_rating"/>
    <tableColumn id="12" xr3:uid="{BA88EAAB-CF02-4BF9-9E2A-621B2F41EB20}" name="revenue"/>
    <tableColumn id="14" xr3:uid="{C763BB45-0614-44FA-A8A6-ECF1C37C62AA}" name="revenue check" dataDxfId="21">
      <calculatedColumnFormula>ROUND(I2*J2*(1-K2),2)</calculatedColumnFormula>
    </tableColumn>
  </tableColumns>
  <tableStyleInfo name="TableStyleLight1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CF8CBDB-52B7-433C-84EE-F649315EF1ED}" name="Table2" displayName="Table2" ref="R1:R501" totalsRowShown="0" headerRowBorderDxfId="20" tableBorderDxfId="19">
  <sortState xmlns:xlrd2="http://schemas.microsoft.com/office/spreadsheetml/2017/richdata2" ref="R2:R501">
    <sortCondition sortBy="cellColor" ref="R1:R501" dxfId="18"/>
  </sortState>
  <tableColumns count="1">
    <tableColumn id="1" xr3:uid="{9DEAF8B7-5B81-458E-8B17-AE8788290C9F}" name="revenue diff" dataDxfId="17">
      <calculatedColumnFormula>ROUND(P2-Q2,2)</calculatedColumnFormula>
    </tableColumn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A614F-03A3-43AC-A001-74BEA8866C67}">
  <dimension ref="A1:L501"/>
  <sheetViews>
    <sheetView topLeftCell="A483" workbookViewId="0">
      <selection activeCell="M491" sqref="M491"/>
    </sheetView>
  </sheetViews>
  <sheetFormatPr defaultRowHeight="14.5" x14ac:dyDescent="0.35"/>
  <cols>
    <col min="1" max="1" width="13.453125" customWidth="1"/>
    <col min="2" max="2" width="11.7265625" customWidth="1"/>
    <col min="3" max="3" width="13.1796875" customWidth="1"/>
    <col min="4" max="4" width="18.26953125" customWidth="1"/>
    <col min="6" max="6" width="14.36328125" customWidth="1"/>
    <col min="7" max="7" width="11.26953125" customWidth="1"/>
    <col min="8" max="8" width="10.26953125" customWidth="1"/>
    <col min="9" max="9" width="17.453125" customWidth="1"/>
    <col min="10" max="10" width="14.1796875" customWidth="1"/>
    <col min="11" max="11" width="16.36328125" customWidth="1"/>
    <col min="12" max="12" width="10.1796875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>
        <v>10001</v>
      </c>
      <c r="B2" s="1">
        <v>44562</v>
      </c>
      <c r="C2">
        <v>1102</v>
      </c>
      <c r="D2" t="s">
        <v>12</v>
      </c>
      <c r="E2" t="s">
        <v>13</v>
      </c>
      <c r="F2">
        <v>7</v>
      </c>
      <c r="G2">
        <v>373.65</v>
      </c>
      <c r="H2">
        <v>0.28000000000000003</v>
      </c>
      <c r="I2" t="s">
        <v>14</v>
      </c>
      <c r="J2">
        <v>10</v>
      </c>
      <c r="K2">
        <v>4.7</v>
      </c>
      <c r="L2">
        <v>1883.2</v>
      </c>
    </row>
    <row r="3" spans="1:12" x14ac:dyDescent="0.35">
      <c r="A3">
        <v>10002</v>
      </c>
      <c r="B3" s="1">
        <v>44593</v>
      </c>
      <c r="C3">
        <v>1435</v>
      </c>
      <c r="D3" t="s">
        <v>15</v>
      </c>
      <c r="E3" t="s">
        <v>13</v>
      </c>
      <c r="F3">
        <v>7</v>
      </c>
      <c r="G3">
        <v>47.74</v>
      </c>
      <c r="H3">
        <v>0.09</v>
      </c>
      <c r="I3" t="s">
        <v>16</v>
      </c>
      <c r="J3">
        <v>6</v>
      </c>
      <c r="K3">
        <v>3.9</v>
      </c>
      <c r="L3">
        <v>304.10000000000002</v>
      </c>
    </row>
    <row r="4" spans="1:12" x14ac:dyDescent="0.35">
      <c r="A4">
        <v>10003</v>
      </c>
      <c r="B4" s="1">
        <v>44621</v>
      </c>
      <c r="C4">
        <v>1860</v>
      </c>
      <c r="D4" t="s">
        <v>12</v>
      </c>
      <c r="E4" t="s">
        <v>17</v>
      </c>
      <c r="F4">
        <v>3</v>
      </c>
      <c r="G4">
        <v>311.27999999999997</v>
      </c>
      <c r="H4">
        <v>0.31</v>
      </c>
      <c r="I4" t="s">
        <v>18</v>
      </c>
      <c r="J4">
        <v>6</v>
      </c>
      <c r="K4">
        <v>2.5</v>
      </c>
      <c r="L4">
        <v>644.35</v>
      </c>
    </row>
    <row r="5" spans="1:12" x14ac:dyDescent="0.35">
      <c r="A5">
        <v>10004</v>
      </c>
      <c r="B5" s="1">
        <v>44652</v>
      </c>
      <c r="C5">
        <v>1270</v>
      </c>
      <c r="D5" t="s">
        <v>19</v>
      </c>
      <c r="E5" t="s">
        <v>20</v>
      </c>
      <c r="F5">
        <v>5</v>
      </c>
      <c r="G5">
        <v>524.47</v>
      </c>
      <c r="H5">
        <v>0.02</v>
      </c>
      <c r="I5" t="s">
        <v>14</v>
      </c>
      <c r="J5">
        <v>6</v>
      </c>
      <c r="K5">
        <v>1.6</v>
      </c>
      <c r="L5">
        <v>2569.9</v>
      </c>
    </row>
    <row r="6" spans="1:12" x14ac:dyDescent="0.35">
      <c r="A6">
        <v>10005</v>
      </c>
      <c r="B6" s="1">
        <v>44682</v>
      </c>
      <c r="C6">
        <v>1106</v>
      </c>
      <c r="D6" t="s">
        <v>15</v>
      </c>
      <c r="E6" t="s">
        <v>20</v>
      </c>
      <c r="F6">
        <v>5</v>
      </c>
      <c r="G6">
        <v>139.87</v>
      </c>
      <c r="H6">
        <v>0.33</v>
      </c>
      <c r="I6" t="s">
        <v>14</v>
      </c>
      <c r="J6">
        <v>4</v>
      </c>
      <c r="K6">
        <v>4.9000000000000004</v>
      </c>
      <c r="L6">
        <v>468.56</v>
      </c>
    </row>
    <row r="7" spans="1:12" x14ac:dyDescent="0.35">
      <c r="A7">
        <v>10006</v>
      </c>
      <c r="B7" s="1">
        <v>44713</v>
      </c>
      <c r="C7">
        <v>1071</v>
      </c>
      <c r="D7" t="s">
        <v>19</v>
      </c>
      <c r="E7" t="s">
        <v>20</v>
      </c>
      <c r="F7">
        <v>2</v>
      </c>
      <c r="G7">
        <v>264.44</v>
      </c>
      <c r="H7">
        <v>0.2</v>
      </c>
      <c r="I7" t="s">
        <v>16</v>
      </c>
      <c r="J7">
        <v>3</v>
      </c>
      <c r="K7">
        <v>3.3</v>
      </c>
      <c r="L7">
        <v>423.1</v>
      </c>
    </row>
    <row r="8" spans="1:12" x14ac:dyDescent="0.35">
      <c r="A8">
        <v>10007</v>
      </c>
      <c r="B8" s="1">
        <v>44743</v>
      </c>
      <c r="C8">
        <v>1700</v>
      </c>
      <c r="D8" t="s">
        <v>15</v>
      </c>
      <c r="E8" t="s">
        <v>13</v>
      </c>
      <c r="F8">
        <v>6</v>
      </c>
      <c r="G8">
        <v>564.6</v>
      </c>
      <c r="H8">
        <v>0.23</v>
      </c>
      <c r="I8" t="s">
        <v>16</v>
      </c>
      <c r="J8">
        <v>1</v>
      </c>
      <c r="K8">
        <v>1.8</v>
      </c>
      <c r="L8">
        <v>2608.4499999999998</v>
      </c>
    </row>
    <row r="9" spans="1:12" x14ac:dyDescent="0.35">
      <c r="A9">
        <v>10008</v>
      </c>
      <c r="B9" s="1">
        <v>44774</v>
      </c>
      <c r="C9">
        <v>1020</v>
      </c>
      <c r="D9" t="s">
        <v>12</v>
      </c>
      <c r="E9" t="s">
        <v>21</v>
      </c>
      <c r="F9">
        <v>6</v>
      </c>
      <c r="G9">
        <v>265.70999999999998</v>
      </c>
      <c r="H9">
        <v>0.13</v>
      </c>
      <c r="I9" t="s">
        <v>16</v>
      </c>
      <c r="J9">
        <v>2</v>
      </c>
      <c r="K9">
        <v>3.7</v>
      </c>
      <c r="L9">
        <v>1387.01</v>
      </c>
    </row>
    <row r="10" spans="1:12" x14ac:dyDescent="0.35">
      <c r="A10">
        <v>10009</v>
      </c>
      <c r="B10" s="1">
        <v>44805</v>
      </c>
      <c r="C10">
        <v>1614</v>
      </c>
      <c r="D10" t="s">
        <v>15</v>
      </c>
      <c r="E10" t="s">
        <v>13</v>
      </c>
      <c r="F10">
        <v>6</v>
      </c>
      <c r="G10">
        <v>224.65</v>
      </c>
      <c r="H10">
        <v>0.27</v>
      </c>
      <c r="I10" t="s">
        <v>16</v>
      </c>
      <c r="J10">
        <v>2</v>
      </c>
      <c r="K10">
        <v>1.4</v>
      </c>
      <c r="L10">
        <v>983.97</v>
      </c>
    </row>
    <row r="11" spans="1:12" x14ac:dyDescent="0.35">
      <c r="A11">
        <v>10010</v>
      </c>
      <c r="B11" s="1">
        <v>44835</v>
      </c>
      <c r="C11">
        <v>1121</v>
      </c>
      <c r="D11" t="s">
        <v>15</v>
      </c>
      <c r="E11" t="s">
        <v>20</v>
      </c>
      <c r="F11">
        <v>4</v>
      </c>
      <c r="G11">
        <v>272.70999999999998</v>
      </c>
      <c r="H11">
        <v>0.06</v>
      </c>
      <c r="I11" t="s">
        <v>16</v>
      </c>
      <c r="J11">
        <v>10</v>
      </c>
      <c r="K11">
        <v>4.5</v>
      </c>
      <c r="L11">
        <v>1025.3900000000001</v>
      </c>
    </row>
    <row r="12" spans="1:12" x14ac:dyDescent="0.35">
      <c r="A12">
        <v>10011</v>
      </c>
      <c r="B12" s="1">
        <v>44866</v>
      </c>
      <c r="C12">
        <v>1466</v>
      </c>
      <c r="D12" t="s">
        <v>15</v>
      </c>
      <c r="E12" t="s">
        <v>20</v>
      </c>
      <c r="F12">
        <v>6</v>
      </c>
      <c r="G12">
        <v>318.88</v>
      </c>
      <c r="H12">
        <v>0.02</v>
      </c>
      <c r="I12" t="s">
        <v>18</v>
      </c>
      <c r="J12">
        <v>7</v>
      </c>
      <c r="K12">
        <v>1.4</v>
      </c>
      <c r="L12">
        <v>1875.01</v>
      </c>
    </row>
    <row r="13" spans="1:12" x14ac:dyDescent="0.35">
      <c r="A13">
        <v>10012</v>
      </c>
      <c r="B13" s="1">
        <v>44896</v>
      </c>
      <c r="C13">
        <v>1214</v>
      </c>
      <c r="D13" t="s">
        <v>19</v>
      </c>
      <c r="E13" t="s">
        <v>20</v>
      </c>
      <c r="F13">
        <v>3</v>
      </c>
      <c r="G13">
        <v>384.71</v>
      </c>
      <c r="H13">
        <v>0.14000000000000001</v>
      </c>
      <c r="I13" t="s">
        <v>18</v>
      </c>
      <c r="J13">
        <v>11</v>
      </c>
      <c r="K13">
        <v>1.9</v>
      </c>
      <c r="L13">
        <v>992.55</v>
      </c>
    </row>
    <row r="14" spans="1:12" x14ac:dyDescent="0.35">
      <c r="A14">
        <v>10013</v>
      </c>
      <c r="B14" t="s">
        <v>22</v>
      </c>
      <c r="C14">
        <v>1330</v>
      </c>
      <c r="D14" t="s">
        <v>12</v>
      </c>
      <c r="E14" t="s">
        <v>13</v>
      </c>
      <c r="F14">
        <v>7</v>
      </c>
      <c r="G14">
        <v>483.41</v>
      </c>
      <c r="H14">
        <v>0.3</v>
      </c>
      <c r="I14" t="s">
        <v>18</v>
      </c>
      <c r="J14">
        <v>6</v>
      </c>
      <c r="K14">
        <v>1.4</v>
      </c>
      <c r="L14">
        <v>2368.71</v>
      </c>
    </row>
    <row r="15" spans="1:12" x14ac:dyDescent="0.35">
      <c r="A15">
        <v>10014</v>
      </c>
      <c r="B15" t="s">
        <v>23</v>
      </c>
      <c r="C15">
        <v>1458</v>
      </c>
      <c r="D15" t="s">
        <v>15</v>
      </c>
      <c r="E15" t="s">
        <v>20</v>
      </c>
      <c r="F15">
        <v>7</v>
      </c>
      <c r="G15">
        <v>279.48</v>
      </c>
      <c r="H15">
        <v>0.26</v>
      </c>
      <c r="I15" t="s">
        <v>18</v>
      </c>
      <c r="J15">
        <v>8</v>
      </c>
      <c r="K15">
        <v>1.4</v>
      </c>
      <c r="L15">
        <v>1447.71</v>
      </c>
    </row>
    <row r="16" spans="1:12" x14ac:dyDescent="0.35">
      <c r="A16">
        <v>10015</v>
      </c>
      <c r="B16" t="s">
        <v>24</v>
      </c>
      <c r="C16">
        <v>1087</v>
      </c>
      <c r="D16" t="s">
        <v>15</v>
      </c>
      <c r="E16" t="s">
        <v>17</v>
      </c>
      <c r="F16">
        <v>4</v>
      </c>
      <c r="G16">
        <v>493.23</v>
      </c>
      <c r="H16">
        <v>0.18</v>
      </c>
      <c r="I16" t="s">
        <v>16</v>
      </c>
      <c r="J16">
        <v>9</v>
      </c>
      <c r="K16">
        <v>3.1</v>
      </c>
      <c r="L16">
        <v>1617.79</v>
      </c>
    </row>
    <row r="17" spans="1:12" x14ac:dyDescent="0.35">
      <c r="A17">
        <v>10016</v>
      </c>
      <c r="B17" t="s">
        <v>25</v>
      </c>
      <c r="C17">
        <v>1372</v>
      </c>
      <c r="D17" t="s">
        <v>15</v>
      </c>
      <c r="E17" t="s">
        <v>20</v>
      </c>
      <c r="F17">
        <v>2</v>
      </c>
      <c r="G17">
        <v>327.23</v>
      </c>
      <c r="H17">
        <v>0.2</v>
      </c>
      <c r="I17" t="s">
        <v>14</v>
      </c>
      <c r="J17">
        <v>5</v>
      </c>
      <c r="K17">
        <v>3.7</v>
      </c>
      <c r="L17">
        <v>523.57000000000005</v>
      </c>
    </row>
    <row r="18" spans="1:12" x14ac:dyDescent="0.35">
      <c r="A18">
        <v>10017</v>
      </c>
      <c r="B18" t="s">
        <v>26</v>
      </c>
      <c r="C18">
        <v>1099</v>
      </c>
      <c r="D18" t="s">
        <v>15</v>
      </c>
      <c r="E18" t="s">
        <v>21</v>
      </c>
      <c r="F18">
        <v>3</v>
      </c>
      <c r="G18">
        <v>213.01</v>
      </c>
      <c r="H18">
        <v>0.05</v>
      </c>
      <c r="I18" t="s">
        <v>14</v>
      </c>
      <c r="J18">
        <v>11</v>
      </c>
      <c r="K18">
        <v>4.2</v>
      </c>
      <c r="L18">
        <v>607.08000000000004</v>
      </c>
    </row>
    <row r="19" spans="1:12" x14ac:dyDescent="0.35">
      <c r="A19">
        <v>10018</v>
      </c>
      <c r="B19" t="s">
        <v>27</v>
      </c>
      <c r="C19">
        <v>1871</v>
      </c>
      <c r="D19" t="s">
        <v>19</v>
      </c>
      <c r="E19" t="s">
        <v>17</v>
      </c>
      <c r="F19">
        <v>7</v>
      </c>
      <c r="G19">
        <v>399.9</v>
      </c>
      <c r="H19">
        <v>0.28999999999999998</v>
      </c>
      <c r="I19" t="s">
        <v>18</v>
      </c>
      <c r="J19">
        <v>3</v>
      </c>
      <c r="K19">
        <v>3.8</v>
      </c>
      <c r="L19">
        <v>1987.5</v>
      </c>
    </row>
    <row r="20" spans="1:12" x14ac:dyDescent="0.35">
      <c r="A20">
        <v>10019</v>
      </c>
      <c r="B20" t="s">
        <v>28</v>
      </c>
      <c r="C20">
        <v>1663</v>
      </c>
      <c r="D20" t="s">
        <v>29</v>
      </c>
      <c r="E20" t="s">
        <v>20</v>
      </c>
      <c r="F20">
        <v>3</v>
      </c>
      <c r="G20">
        <v>434.87</v>
      </c>
      <c r="H20">
        <v>0.28000000000000003</v>
      </c>
      <c r="I20" t="s">
        <v>14</v>
      </c>
      <c r="J20">
        <v>4</v>
      </c>
      <c r="K20">
        <v>2.5</v>
      </c>
      <c r="L20">
        <v>939.32</v>
      </c>
    </row>
    <row r="21" spans="1:12" x14ac:dyDescent="0.35">
      <c r="A21">
        <v>10020</v>
      </c>
      <c r="B21" t="s">
        <v>30</v>
      </c>
      <c r="C21">
        <v>1130</v>
      </c>
      <c r="D21" t="s">
        <v>19</v>
      </c>
      <c r="E21" t="s">
        <v>17</v>
      </c>
      <c r="F21">
        <v>7</v>
      </c>
      <c r="G21">
        <v>341.46</v>
      </c>
      <c r="H21">
        <v>0.23</v>
      </c>
      <c r="I21" t="s">
        <v>16</v>
      </c>
      <c r="J21">
        <v>11</v>
      </c>
      <c r="K21">
        <v>3.2</v>
      </c>
      <c r="L21">
        <v>1840.47</v>
      </c>
    </row>
    <row r="22" spans="1:12" x14ac:dyDescent="0.35">
      <c r="A22">
        <v>10021</v>
      </c>
      <c r="B22" t="s">
        <v>31</v>
      </c>
      <c r="D22" t="s">
        <v>29</v>
      </c>
      <c r="E22" t="s">
        <v>20</v>
      </c>
      <c r="F22">
        <v>1</v>
      </c>
      <c r="G22">
        <v>48.12</v>
      </c>
      <c r="H22">
        <v>0.16</v>
      </c>
      <c r="I22" t="s">
        <v>18</v>
      </c>
      <c r="J22">
        <v>8</v>
      </c>
      <c r="K22">
        <v>4.7</v>
      </c>
      <c r="L22">
        <v>40.42</v>
      </c>
    </row>
    <row r="23" spans="1:12" x14ac:dyDescent="0.35">
      <c r="A23">
        <v>10022</v>
      </c>
      <c r="B23" t="s">
        <v>32</v>
      </c>
      <c r="C23">
        <v>1308</v>
      </c>
      <c r="D23" t="s">
        <v>29</v>
      </c>
      <c r="E23" t="s">
        <v>21</v>
      </c>
      <c r="F23">
        <v>2</v>
      </c>
      <c r="G23">
        <v>114.38</v>
      </c>
      <c r="H23">
        <v>0.34</v>
      </c>
      <c r="I23" t="s">
        <v>16</v>
      </c>
      <c r="J23">
        <v>3</v>
      </c>
      <c r="K23">
        <v>2.6</v>
      </c>
      <c r="L23">
        <v>150.97999999999999</v>
      </c>
    </row>
    <row r="24" spans="1:12" x14ac:dyDescent="0.35">
      <c r="A24">
        <v>10023</v>
      </c>
      <c r="B24" t="s">
        <v>33</v>
      </c>
      <c r="C24">
        <v>1769</v>
      </c>
      <c r="D24" t="s">
        <v>29</v>
      </c>
      <c r="E24" t="s">
        <v>20</v>
      </c>
      <c r="F24">
        <v>2</v>
      </c>
      <c r="G24">
        <v>181.9</v>
      </c>
      <c r="H24">
        <v>0.31</v>
      </c>
      <c r="I24" t="s">
        <v>16</v>
      </c>
      <c r="J24">
        <v>2</v>
      </c>
      <c r="K24">
        <v>2</v>
      </c>
      <c r="L24">
        <v>251.02</v>
      </c>
    </row>
    <row r="25" spans="1:12" x14ac:dyDescent="0.35">
      <c r="A25">
        <v>10024</v>
      </c>
      <c r="B25" t="s">
        <v>34</v>
      </c>
      <c r="C25">
        <v>1343</v>
      </c>
      <c r="D25" t="s">
        <v>15</v>
      </c>
      <c r="E25" t="s">
        <v>17</v>
      </c>
      <c r="F25">
        <v>1</v>
      </c>
      <c r="G25">
        <v>180.34</v>
      </c>
      <c r="H25">
        <v>0.23</v>
      </c>
      <c r="I25" t="s">
        <v>16</v>
      </c>
      <c r="J25">
        <v>7</v>
      </c>
      <c r="K25">
        <v>3.1</v>
      </c>
      <c r="L25">
        <v>138.86000000000001</v>
      </c>
    </row>
    <row r="26" spans="1:12" x14ac:dyDescent="0.35">
      <c r="A26">
        <v>10025</v>
      </c>
      <c r="B26" t="s">
        <v>35</v>
      </c>
      <c r="C26">
        <v>1491</v>
      </c>
      <c r="D26" t="s">
        <v>15</v>
      </c>
      <c r="E26" t="s">
        <v>21</v>
      </c>
      <c r="F26">
        <v>4</v>
      </c>
      <c r="G26">
        <v>408.95</v>
      </c>
      <c r="H26">
        <v>0.13</v>
      </c>
      <c r="I26" t="s">
        <v>18</v>
      </c>
      <c r="J26">
        <v>4</v>
      </c>
      <c r="K26">
        <v>2.2000000000000002</v>
      </c>
      <c r="L26">
        <v>1423.15</v>
      </c>
    </row>
    <row r="27" spans="1:12" x14ac:dyDescent="0.35">
      <c r="A27">
        <v>10026</v>
      </c>
      <c r="B27" t="s">
        <v>36</v>
      </c>
      <c r="C27">
        <v>1413</v>
      </c>
      <c r="D27" t="s">
        <v>19</v>
      </c>
      <c r="E27" t="s">
        <v>13</v>
      </c>
      <c r="F27">
        <v>7</v>
      </c>
      <c r="G27">
        <v>25.73</v>
      </c>
      <c r="H27">
        <v>0.22</v>
      </c>
      <c r="I27" t="s">
        <v>16</v>
      </c>
      <c r="J27">
        <v>8</v>
      </c>
      <c r="K27">
        <v>2</v>
      </c>
      <c r="L27">
        <v>140.49</v>
      </c>
    </row>
    <row r="28" spans="1:12" x14ac:dyDescent="0.35">
      <c r="A28">
        <v>10027</v>
      </c>
      <c r="B28" t="s">
        <v>37</v>
      </c>
      <c r="C28">
        <v>1805</v>
      </c>
      <c r="D28" t="s">
        <v>29</v>
      </c>
      <c r="E28" t="s">
        <v>21</v>
      </c>
      <c r="F28">
        <v>7</v>
      </c>
      <c r="G28">
        <v>457.07</v>
      </c>
      <c r="H28">
        <v>0.2</v>
      </c>
      <c r="I28" t="s">
        <v>18</v>
      </c>
      <c r="J28">
        <v>1</v>
      </c>
      <c r="K28">
        <v>4.0999999999999996</v>
      </c>
      <c r="L28">
        <v>2559.59</v>
      </c>
    </row>
    <row r="29" spans="1:12" x14ac:dyDescent="0.35">
      <c r="A29">
        <v>10028</v>
      </c>
      <c r="B29" t="s">
        <v>38</v>
      </c>
      <c r="C29">
        <v>1385</v>
      </c>
      <c r="D29" t="s">
        <v>19</v>
      </c>
      <c r="E29" t="s">
        <v>21</v>
      </c>
      <c r="F29">
        <v>7</v>
      </c>
      <c r="G29">
        <v>170.23</v>
      </c>
      <c r="H29">
        <v>0.14000000000000001</v>
      </c>
      <c r="I29" t="s">
        <v>16</v>
      </c>
      <c r="J29">
        <v>8</v>
      </c>
      <c r="K29">
        <v>4.5999999999999996</v>
      </c>
      <c r="L29">
        <v>1024.78</v>
      </c>
    </row>
    <row r="30" spans="1:12" x14ac:dyDescent="0.35">
      <c r="A30">
        <v>10029</v>
      </c>
      <c r="B30" t="s">
        <v>39</v>
      </c>
      <c r="C30">
        <v>1191</v>
      </c>
      <c r="D30" t="s">
        <v>15</v>
      </c>
      <c r="E30" t="s">
        <v>21</v>
      </c>
      <c r="F30">
        <v>6</v>
      </c>
      <c r="G30">
        <v>196.36</v>
      </c>
      <c r="H30">
        <v>0.11</v>
      </c>
      <c r="I30" t="s">
        <v>14</v>
      </c>
      <c r="J30">
        <v>5</v>
      </c>
      <c r="K30">
        <v>3</v>
      </c>
      <c r="L30">
        <v>1048.56</v>
      </c>
    </row>
    <row r="31" spans="1:12" x14ac:dyDescent="0.35">
      <c r="A31">
        <v>10030</v>
      </c>
      <c r="B31" t="s">
        <v>40</v>
      </c>
      <c r="C31">
        <v>1955</v>
      </c>
      <c r="D31" t="s">
        <v>19</v>
      </c>
      <c r="E31" t="s">
        <v>17</v>
      </c>
      <c r="F31">
        <v>6</v>
      </c>
      <c r="G31">
        <v>323.83</v>
      </c>
      <c r="H31">
        <v>0.14000000000000001</v>
      </c>
      <c r="I31" t="s">
        <v>18</v>
      </c>
      <c r="J31">
        <v>2</v>
      </c>
      <c r="K31">
        <v>4.0999999999999996</v>
      </c>
      <c r="L31">
        <v>1670.96</v>
      </c>
    </row>
    <row r="32" spans="1:12" x14ac:dyDescent="0.35">
      <c r="A32">
        <v>10031</v>
      </c>
      <c r="B32" t="s">
        <v>41</v>
      </c>
      <c r="C32">
        <v>1276</v>
      </c>
      <c r="D32" t="s">
        <v>19</v>
      </c>
      <c r="E32" t="s">
        <v>21</v>
      </c>
      <c r="F32">
        <v>6</v>
      </c>
      <c r="G32">
        <v>141.32</v>
      </c>
      <c r="H32">
        <v>0.2</v>
      </c>
      <c r="I32" t="s">
        <v>16</v>
      </c>
      <c r="J32">
        <v>1</v>
      </c>
      <c r="K32">
        <v>1.7</v>
      </c>
      <c r="L32">
        <v>678.34</v>
      </c>
    </row>
    <row r="33" spans="1:12" x14ac:dyDescent="0.35">
      <c r="A33">
        <v>10032</v>
      </c>
      <c r="B33" s="1">
        <v>44563</v>
      </c>
      <c r="C33">
        <v>1160</v>
      </c>
      <c r="D33" t="s">
        <v>15</v>
      </c>
      <c r="E33" t="s">
        <v>20</v>
      </c>
      <c r="F33">
        <v>6</v>
      </c>
      <c r="G33">
        <v>532.41999999999996</v>
      </c>
      <c r="H33">
        <v>0.15</v>
      </c>
      <c r="I33" t="s">
        <v>16</v>
      </c>
      <c r="J33">
        <v>6</v>
      </c>
      <c r="K33">
        <v>3.2</v>
      </c>
      <c r="L33">
        <v>2715.34</v>
      </c>
    </row>
    <row r="34" spans="1:12" x14ac:dyDescent="0.35">
      <c r="A34">
        <v>10033</v>
      </c>
      <c r="B34" s="1">
        <v>44594</v>
      </c>
      <c r="C34">
        <v>1459</v>
      </c>
      <c r="D34" t="s">
        <v>19</v>
      </c>
      <c r="E34" t="s">
        <v>21</v>
      </c>
      <c r="F34">
        <v>6</v>
      </c>
      <c r="G34">
        <v>64.94</v>
      </c>
      <c r="H34">
        <v>0.09</v>
      </c>
      <c r="I34" t="s">
        <v>14</v>
      </c>
      <c r="J34">
        <v>9</v>
      </c>
      <c r="K34">
        <v>3.5</v>
      </c>
      <c r="L34">
        <v>354.57</v>
      </c>
    </row>
    <row r="35" spans="1:12" x14ac:dyDescent="0.35">
      <c r="A35">
        <v>10034</v>
      </c>
      <c r="B35" s="1">
        <v>44622</v>
      </c>
      <c r="C35">
        <v>1313</v>
      </c>
      <c r="D35" t="s">
        <v>29</v>
      </c>
      <c r="E35" t="s">
        <v>21</v>
      </c>
      <c r="F35">
        <v>1</v>
      </c>
      <c r="G35">
        <v>274.95999999999998</v>
      </c>
      <c r="H35">
        <v>0.27</v>
      </c>
      <c r="I35" t="s">
        <v>16</v>
      </c>
      <c r="J35">
        <v>9</v>
      </c>
      <c r="K35">
        <v>3</v>
      </c>
      <c r="L35">
        <v>200.72</v>
      </c>
    </row>
    <row r="36" spans="1:12" x14ac:dyDescent="0.35">
      <c r="A36">
        <v>10035</v>
      </c>
      <c r="B36" s="1">
        <v>44653</v>
      </c>
      <c r="C36">
        <v>1021</v>
      </c>
      <c r="D36" t="s">
        <v>19</v>
      </c>
      <c r="E36" t="s">
        <v>20</v>
      </c>
      <c r="F36">
        <v>2</v>
      </c>
      <c r="G36">
        <v>511.91</v>
      </c>
      <c r="H36">
        <v>0.19</v>
      </c>
      <c r="I36" t="s">
        <v>18</v>
      </c>
      <c r="J36">
        <v>9</v>
      </c>
      <c r="K36">
        <v>1.5</v>
      </c>
      <c r="L36">
        <v>829.29</v>
      </c>
    </row>
    <row r="37" spans="1:12" x14ac:dyDescent="0.35">
      <c r="A37">
        <v>10036</v>
      </c>
      <c r="B37" s="1">
        <v>44683</v>
      </c>
      <c r="C37">
        <v>1252</v>
      </c>
      <c r="D37" t="s">
        <v>19</v>
      </c>
      <c r="E37" t="s">
        <v>20</v>
      </c>
      <c r="F37">
        <v>4</v>
      </c>
      <c r="G37">
        <v>375.27</v>
      </c>
      <c r="H37">
        <v>0.02</v>
      </c>
      <c r="I37" t="s">
        <v>18</v>
      </c>
      <c r="J37">
        <v>11</v>
      </c>
      <c r="K37">
        <v>3.9</v>
      </c>
      <c r="L37">
        <v>1471.06</v>
      </c>
    </row>
    <row r="38" spans="1:12" x14ac:dyDescent="0.35">
      <c r="A38">
        <v>10037</v>
      </c>
      <c r="B38" s="1">
        <v>44714</v>
      </c>
      <c r="C38">
        <v>1747</v>
      </c>
      <c r="D38" t="s">
        <v>15</v>
      </c>
      <c r="E38" t="s">
        <v>13</v>
      </c>
      <c r="F38">
        <v>3</v>
      </c>
      <c r="G38">
        <v>186.01</v>
      </c>
      <c r="H38">
        <v>0.13</v>
      </c>
      <c r="I38" t="s">
        <v>16</v>
      </c>
      <c r="J38">
        <v>4</v>
      </c>
      <c r="K38">
        <v>4.4000000000000004</v>
      </c>
      <c r="L38">
        <v>485.49</v>
      </c>
    </row>
    <row r="39" spans="1:12" x14ac:dyDescent="0.35">
      <c r="A39">
        <v>10038</v>
      </c>
      <c r="B39" s="1">
        <v>44744</v>
      </c>
      <c r="C39">
        <v>1856</v>
      </c>
      <c r="D39" t="s">
        <v>19</v>
      </c>
      <c r="E39" t="s">
        <v>21</v>
      </c>
      <c r="F39">
        <v>6</v>
      </c>
      <c r="G39">
        <v>261.14</v>
      </c>
      <c r="H39">
        <v>0.31</v>
      </c>
      <c r="I39" t="s">
        <v>16</v>
      </c>
      <c r="J39">
        <v>6</v>
      </c>
      <c r="K39">
        <v>3.5</v>
      </c>
      <c r="L39">
        <v>1081.1199999999999</v>
      </c>
    </row>
    <row r="40" spans="1:12" x14ac:dyDescent="0.35">
      <c r="A40">
        <v>10039</v>
      </c>
      <c r="B40" s="1">
        <v>44775</v>
      </c>
      <c r="C40">
        <v>1560</v>
      </c>
      <c r="D40" t="s">
        <v>19</v>
      </c>
      <c r="E40" t="s">
        <v>17</v>
      </c>
      <c r="F40">
        <v>1</v>
      </c>
      <c r="G40">
        <v>428.42</v>
      </c>
      <c r="H40">
        <v>0.26</v>
      </c>
      <c r="I40" t="s">
        <v>18</v>
      </c>
      <c r="J40">
        <v>10</v>
      </c>
      <c r="K40">
        <v>1.7</v>
      </c>
      <c r="L40">
        <v>317.02999999999997</v>
      </c>
    </row>
    <row r="41" spans="1:12" x14ac:dyDescent="0.35">
      <c r="A41">
        <v>10040</v>
      </c>
      <c r="B41" s="1">
        <v>44806</v>
      </c>
      <c r="C41">
        <v>1474</v>
      </c>
      <c r="D41" t="s">
        <v>29</v>
      </c>
      <c r="E41" t="s">
        <v>21</v>
      </c>
      <c r="F41">
        <v>7</v>
      </c>
      <c r="G41">
        <v>584.36</v>
      </c>
      <c r="H41">
        <v>0.11</v>
      </c>
      <c r="I41" t="s">
        <v>16</v>
      </c>
      <c r="J41">
        <v>6</v>
      </c>
      <c r="K41">
        <v>1.3</v>
      </c>
      <c r="L41">
        <v>3640.56</v>
      </c>
    </row>
    <row r="42" spans="1:12" x14ac:dyDescent="0.35">
      <c r="A42">
        <v>10041</v>
      </c>
      <c r="B42" s="1">
        <v>44836</v>
      </c>
      <c r="C42">
        <v>1058</v>
      </c>
      <c r="D42" t="s">
        <v>19</v>
      </c>
      <c r="E42" t="s">
        <v>21</v>
      </c>
      <c r="F42">
        <v>4</v>
      </c>
      <c r="G42">
        <v>537.49</v>
      </c>
      <c r="H42">
        <v>0.33</v>
      </c>
      <c r="I42" t="s">
        <v>16</v>
      </c>
      <c r="J42">
        <v>5</v>
      </c>
      <c r="K42">
        <v>2.2000000000000002</v>
      </c>
      <c r="L42">
        <v>1440.47</v>
      </c>
    </row>
    <row r="43" spans="1:12" x14ac:dyDescent="0.35">
      <c r="A43">
        <v>10042</v>
      </c>
      <c r="B43" s="1">
        <v>44867</v>
      </c>
      <c r="C43">
        <v>1510</v>
      </c>
      <c r="D43" t="s">
        <v>29</v>
      </c>
      <c r="E43" t="s">
        <v>20</v>
      </c>
      <c r="F43">
        <v>4</v>
      </c>
      <c r="G43">
        <v>215.32</v>
      </c>
      <c r="H43">
        <v>0.03</v>
      </c>
      <c r="I43" t="s">
        <v>16</v>
      </c>
      <c r="J43">
        <v>2</v>
      </c>
      <c r="K43">
        <v>1.1000000000000001</v>
      </c>
      <c r="L43">
        <v>835.44</v>
      </c>
    </row>
    <row r="44" spans="1:12" x14ac:dyDescent="0.35">
      <c r="A44">
        <v>10043</v>
      </c>
      <c r="B44" s="1">
        <v>44897</v>
      </c>
      <c r="C44">
        <v>1681</v>
      </c>
      <c r="D44" t="s">
        <v>19</v>
      </c>
      <c r="E44" t="s">
        <v>13</v>
      </c>
      <c r="F44">
        <v>4</v>
      </c>
      <c r="G44">
        <v>598.95000000000005</v>
      </c>
      <c r="H44">
        <v>0.34</v>
      </c>
      <c r="I44" t="s">
        <v>16</v>
      </c>
      <c r="J44">
        <v>7</v>
      </c>
      <c r="K44">
        <v>4.4000000000000004</v>
      </c>
      <c r="L44">
        <v>1581.23</v>
      </c>
    </row>
    <row r="45" spans="1:12" x14ac:dyDescent="0.35">
      <c r="A45">
        <v>10044</v>
      </c>
      <c r="B45" t="s">
        <v>42</v>
      </c>
      <c r="C45">
        <v>1475</v>
      </c>
      <c r="D45" t="s">
        <v>19</v>
      </c>
      <c r="E45" t="s">
        <v>21</v>
      </c>
      <c r="F45">
        <v>1</v>
      </c>
      <c r="G45">
        <v>17.05</v>
      </c>
      <c r="H45">
        <v>0.09</v>
      </c>
      <c r="I45" t="s">
        <v>16</v>
      </c>
      <c r="J45">
        <v>1</v>
      </c>
      <c r="K45">
        <v>3.8</v>
      </c>
      <c r="L45">
        <v>15.52</v>
      </c>
    </row>
    <row r="46" spans="1:12" x14ac:dyDescent="0.35">
      <c r="A46">
        <v>10045</v>
      </c>
      <c r="B46" t="s">
        <v>43</v>
      </c>
      <c r="C46">
        <v>1699</v>
      </c>
      <c r="D46" t="s">
        <v>29</v>
      </c>
      <c r="E46" t="s">
        <v>17</v>
      </c>
      <c r="F46">
        <v>3</v>
      </c>
      <c r="G46">
        <v>31.16</v>
      </c>
      <c r="H46">
        <v>0</v>
      </c>
      <c r="I46" t="s">
        <v>14</v>
      </c>
      <c r="J46">
        <v>6</v>
      </c>
      <c r="K46">
        <v>3.3</v>
      </c>
      <c r="L46">
        <v>93.48</v>
      </c>
    </row>
    <row r="47" spans="1:12" x14ac:dyDescent="0.35">
      <c r="A47">
        <v>10046</v>
      </c>
      <c r="B47" t="s">
        <v>44</v>
      </c>
      <c r="C47">
        <v>1975</v>
      </c>
      <c r="D47" t="s">
        <v>19</v>
      </c>
      <c r="E47" t="s">
        <v>21</v>
      </c>
      <c r="F47">
        <v>6</v>
      </c>
      <c r="G47">
        <v>496.95</v>
      </c>
      <c r="H47">
        <v>0.15</v>
      </c>
      <c r="I47" t="s">
        <v>18</v>
      </c>
      <c r="J47">
        <v>5</v>
      </c>
      <c r="K47">
        <v>4.5999999999999996</v>
      </c>
      <c r="L47">
        <v>2534.44</v>
      </c>
    </row>
    <row r="48" spans="1:12" x14ac:dyDescent="0.35">
      <c r="A48">
        <v>10047</v>
      </c>
      <c r="B48" t="s">
        <v>45</v>
      </c>
      <c r="C48">
        <v>1782</v>
      </c>
      <c r="D48" t="s">
        <v>19</v>
      </c>
      <c r="E48" t="s">
        <v>17</v>
      </c>
      <c r="F48">
        <v>4</v>
      </c>
      <c r="G48">
        <v>131.69</v>
      </c>
      <c r="H48">
        <v>0.13</v>
      </c>
      <c r="I48" t="s">
        <v>18</v>
      </c>
      <c r="J48">
        <v>5</v>
      </c>
      <c r="K48">
        <v>1.4</v>
      </c>
      <c r="L48">
        <v>458.28</v>
      </c>
    </row>
    <row r="49" spans="1:12" x14ac:dyDescent="0.35">
      <c r="A49">
        <v>10048</v>
      </c>
      <c r="B49" t="s">
        <v>46</v>
      </c>
      <c r="C49">
        <v>1189</v>
      </c>
      <c r="D49" t="s">
        <v>15</v>
      </c>
      <c r="E49" t="s">
        <v>20</v>
      </c>
      <c r="F49">
        <v>1</v>
      </c>
      <c r="G49">
        <v>50.55</v>
      </c>
      <c r="H49">
        <v>0.19</v>
      </c>
      <c r="I49" t="s">
        <v>16</v>
      </c>
      <c r="J49">
        <v>8</v>
      </c>
      <c r="K49">
        <v>3.9</v>
      </c>
      <c r="L49">
        <v>40.950000000000003</v>
      </c>
    </row>
    <row r="50" spans="1:12" x14ac:dyDescent="0.35">
      <c r="A50">
        <v>10049</v>
      </c>
      <c r="B50" t="s">
        <v>47</v>
      </c>
      <c r="C50">
        <v>1957</v>
      </c>
      <c r="D50" t="s">
        <v>19</v>
      </c>
      <c r="E50" t="s">
        <v>13</v>
      </c>
      <c r="F50">
        <v>7</v>
      </c>
      <c r="G50">
        <v>153.72999999999999</v>
      </c>
      <c r="H50">
        <v>0.28000000000000003</v>
      </c>
      <c r="I50" t="s">
        <v>16</v>
      </c>
      <c r="J50">
        <v>9</v>
      </c>
      <c r="K50">
        <v>1.6</v>
      </c>
      <c r="L50">
        <v>774.8</v>
      </c>
    </row>
    <row r="51" spans="1:12" x14ac:dyDescent="0.35">
      <c r="A51">
        <v>10050</v>
      </c>
      <c r="B51" t="s">
        <v>48</v>
      </c>
      <c r="C51">
        <v>1686</v>
      </c>
      <c r="D51" t="s">
        <v>29</v>
      </c>
      <c r="E51" t="s">
        <v>21</v>
      </c>
      <c r="F51">
        <v>2</v>
      </c>
      <c r="G51">
        <v>264.27</v>
      </c>
      <c r="H51">
        <v>0.28999999999999998</v>
      </c>
      <c r="I51" t="s">
        <v>14</v>
      </c>
      <c r="J51">
        <v>7</v>
      </c>
      <c r="K51">
        <v>1.2</v>
      </c>
      <c r="L51">
        <v>375.26</v>
      </c>
    </row>
    <row r="52" spans="1:12" x14ac:dyDescent="0.35">
      <c r="A52">
        <v>10051</v>
      </c>
      <c r="B52" t="s">
        <v>49</v>
      </c>
      <c r="C52">
        <v>1957</v>
      </c>
      <c r="D52" t="s">
        <v>19</v>
      </c>
      <c r="E52" t="s">
        <v>13</v>
      </c>
      <c r="F52">
        <v>7</v>
      </c>
      <c r="G52">
        <v>442.38</v>
      </c>
      <c r="H52">
        <v>0.14000000000000001</v>
      </c>
      <c r="I52" t="s">
        <v>18</v>
      </c>
      <c r="J52">
        <v>10</v>
      </c>
      <c r="K52">
        <v>1.5</v>
      </c>
      <c r="L52">
        <v>2663.13</v>
      </c>
    </row>
    <row r="53" spans="1:12" x14ac:dyDescent="0.35">
      <c r="A53">
        <v>10052</v>
      </c>
      <c r="B53" t="s">
        <v>50</v>
      </c>
      <c r="C53">
        <v>1562</v>
      </c>
      <c r="D53" t="s">
        <v>29</v>
      </c>
      <c r="E53" t="s">
        <v>21</v>
      </c>
      <c r="F53">
        <v>1</v>
      </c>
      <c r="G53">
        <v>380.24</v>
      </c>
      <c r="H53">
        <v>0.15</v>
      </c>
      <c r="I53" t="s">
        <v>16</v>
      </c>
      <c r="J53">
        <v>8</v>
      </c>
      <c r="K53">
        <v>4.8</v>
      </c>
      <c r="L53">
        <v>323.2</v>
      </c>
    </row>
    <row r="54" spans="1:12" x14ac:dyDescent="0.35">
      <c r="A54">
        <v>10053</v>
      </c>
      <c r="B54" t="s">
        <v>51</v>
      </c>
      <c r="C54">
        <v>1875</v>
      </c>
      <c r="D54" t="s">
        <v>12</v>
      </c>
      <c r="E54" t="s">
        <v>17</v>
      </c>
      <c r="F54">
        <v>1</v>
      </c>
      <c r="G54">
        <v>154.01</v>
      </c>
      <c r="H54">
        <v>0.05</v>
      </c>
      <c r="I54" t="s">
        <v>16</v>
      </c>
      <c r="J54">
        <v>2</v>
      </c>
      <c r="K54">
        <v>2.8</v>
      </c>
      <c r="L54">
        <v>146.31</v>
      </c>
    </row>
    <row r="55" spans="1:12" x14ac:dyDescent="0.35">
      <c r="A55">
        <v>10054</v>
      </c>
      <c r="B55" t="s">
        <v>52</v>
      </c>
      <c r="C55">
        <v>1566</v>
      </c>
      <c r="D55" t="s">
        <v>15</v>
      </c>
      <c r="E55" t="s">
        <v>13</v>
      </c>
      <c r="F55">
        <v>1</v>
      </c>
      <c r="G55">
        <v>309.41000000000003</v>
      </c>
      <c r="H55">
        <v>0.02</v>
      </c>
      <c r="I55" t="s">
        <v>18</v>
      </c>
      <c r="J55">
        <v>2</v>
      </c>
      <c r="K55">
        <v>1.2</v>
      </c>
      <c r="L55">
        <v>303.22000000000003</v>
      </c>
    </row>
    <row r="56" spans="1:12" x14ac:dyDescent="0.35">
      <c r="A56">
        <v>10055</v>
      </c>
      <c r="B56" t="s">
        <v>53</v>
      </c>
      <c r="C56">
        <v>1243</v>
      </c>
      <c r="D56" t="s">
        <v>12</v>
      </c>
      <c r="E56" t="s">
        <v>21</v>
      </c>
      <c r="F56">
        <v>4</v>
      </c>
      <c r="G56">
        <v>556.84</v>
      </c>
      <c r="H56">
        <v>0.22</v>
      </c>
      <c r="I56" t="s">
        <v>14</v>
      </c>
      <c r="J56">
        <v>8</v>
      </c>
      <c r="K56">
        <v>3.3</v>
      </c>
      <c r="L56">
        <v>1737.34</v>
      </c>
    </row>
    <row r="57" spans="1:12" x14ac:dyDescent="0.35">
      <c r="A57">
        <v>10056</v>
      </c>
      <c r="B57" t="s">
        <v>54</v>
      </c>
      <c r="C57">
        <v>1831</v>
      </c>
      <c r="D57" t="s">
        <v>15</v>
      </c>
      <c r="E57" t="s">
        <v>20</v>
      </c>
      <c r="F57">
        <v>1</v>
      </c>
      <c r="G57">
        <v>491.78</v>
      </c>
      <c r="H57">
        <v>0.02</v>
      </c>
      <c r="I57" t="s">
        <v>16</v>
      </c>
      <c r="J57">
        <v>6</v>
      </c>
      <c r="K57">
        <v>1.8</v>
      </c>
      <c r="L57">
        <v>481.94</v>
      </c>
    </row>
    <row r="58" spans="1:12" x14ac:dyDescent="0.35">
      <c r="A58">
        <v>10057</v>
      </c>
      <c r="B58" t="s">
        <v>55</v>
      </c>
      <c r="C58">
        <v>1504</v>
      </c>
      <c r="D58" t="s">
        <v>12</v>
      </c>
      <c r="E58" t="s">
        <v>17</v>
      </c>
      <c r="F58">
        <v>2</v>
      </c>
      <c r="G58">
        <v>204.07</v>
      </c>
      <c r="H58">
        <v>0.26</v>
      </c>
      <c r="I58" t="s">
        <v>18</v>
      </c>
      <c r="J58">
        <v>8</v>
      </c>
      <c r="K58">
        <v>1</v>
      </c>
      <c r="L58">
        <v>302.02</v>
      </c>
    </row>
    <row r="59" spans="1:12" x14ac:dyDescent="0.35">
      <c r="A59">
        <v>10058</v>
      </c>
      <c r="B59" t="s">
        <v>56</v>
      </c>
      <c r="C59">
        <v>1130</v>
      </c>
      <c r="D59" t="s">
        <v>19</v>
      </c>
      <c r="E59" t="s">
        <v>13</v>
      </c>
      <c r="F59">
        <v>4</v>
      </c>
      <c r="G59">
        <v>589.62</v>
      </c>
      <c r="H59">
        <v>0.19</v>
      </c>
      <c r="I59" t="s">
        <v>18</v>
      </c>
      <c r="J59">
        <v>9</v>
      </c>
      <c r="K59">
        <v>4</v>
      </c>
      <c r="L59">
        <v>1910.37</v>
      </c>
    </row>
    <row r="60" spans="1:12" x14ac:dyDescent="0.35">
      <c r="A60">
        <v>10059</v>
      </c>
      <c r="B60" t="s">
        <v>57</v>
      </c>
      <c r="C60">
        <v>1484</v>
      </c>
      <c r="D60" t="s">
        <v>29</v>
      </c>
      <c r="E60" t="s">
        <v>21</v>
      </c>
      <c r="F60">
        <v>7</v>
      </c>
      <c r="G60">
        <v>429.54</v>
      </c>
      <c r="H60">
        <v>7.0000000000000007E-2</v>
      </c>
      <c r="I60" t="s">
        <v>14</v>
      </c>
      <c r="J60">
        <v>9</v>
      </c>
      <c r="K60">
        <v>1.6</v>
      </c>
      <c r="L60">
        <v>2796.31</v>
      </c>
    </row>
    <row r="61" spans="1:12" x14ac:dyDescent="0.35">
      <c r="A61">
        <v>10060</v>
      </c>
      <c r="B61" s="1">
        <v>44564</v>
      </c>
      <c r="C61">
        <v>1818</v>
      </c>
      <c r="D61" t="s">
        <v>15</v>
      </c>
      <c r="E61" t="s">
        <v>13</v>
      </c>
      <c r="F61">
        <v>2</v>
      </c>
      <c r="G61">
        <v>51.53</v>
      </c>
      <c r="H61">
        <v>0.19</v>
      </c>
      <c r="I61" t="s">
        <v>14</v>
      </c>
      <c r="J61">
        <v>11</v>
      </c>
      <c r="K61">
        <v>4.8</v>
      </c>
      <c r="L61">
        <v>83.48</v>
      </c>
    </row>
    <row r="62" spans="1:12" x14ac:dyDescent="0.35">
      <c r="A62">
        <v>10061</v>
      </c>
      <c r="B62" s="1">
        <v>44595</v>
      </c>
      <c r="C62">
        <v>1646</v>
      </c>
      <c r="D62" t="s">
        <v>15</v>
      </c>
      <c r="E62" t="s">
        <v>21</v>
      </c>
      <c r="F62">
        <v>5</v>
      </c>
      <c r="G62">
        <v>35.57</v>
      </c>
      <c r="H62">
        <v>0.06</v>
      </c>
      <c r="I62" t="s">
        <v>16</v>
      </c>
      <c r="J62">
        <v>6</v>
      </c>
      <c r="K62">
        <v>3.4</v>
      </c>
      <c r="L62">
        <v>167.18</v>
      </c>
    </row>
    <row r="63" spans="1:12" x14ac:dyDescent="0.35">
      <c r="A63">
        <v>10062</v>
      </c>
      <c r="B63" s="1">
        <v>44623</v>
      </c>
      <c r="C63">
        <v>1020</v>
      </c>
      <c r="D63" t="s">
        <v>15</v>
      </c>
      <c r="E63" t="s">
        <v>17</v>
      </c>
      <c r="F63">
        <v>7</v>
      </c>
      <c r="G63">
        <v>113.52</v>
      </c>
      <c r="H63">
        <v>0.15</v>
      </c>
      <c r="I63" t="s">
        <v>18</v>
      </c>
      <c r="J63">
        <v>8</v>
      </c>
      <c r="K63">
        <v>1.3</v>
      </c>
      <c r="L63">
        <v>675.44</v>
      </c>
    </row>
    <row r="64" spans="1:12" x14ac:dyDescent="0.35">
      <c r="A64">
        <v>10063</v>
      </c>
      <c r="B64" s="1">
        <v>44654</v>
      </c>
      <c r="C64">
        <v>1840</v>
      </c>
      <c r="D64" t="s">
        <v>29</v>
      </c>
      <c r="E64" t="s">
        <v>20</v>
      </c>
      <c r="F64">
        <v>1</v>
      </c>
      <c r="G64">
        <v>440.8</v>
      </c>
      <c r="H64">
        <v>0.28000000000000003</v>
      </c>
      <c r="I64" t="s">
        <v>18</v>
      </c>
      <c r="J64">
        <v>2</v>
      </c>
      <c r="K64">
        <v>1.9</v>
      </c>
      <c r="L64">
        <v>317.38</v>
      </c>
    </row>
    <row r="65" spans="1:12" x14ac:dyDescent="0.35">
      <c r="A65">
        <v>10064</v>
      </c>
      <c r="B65" s="1">
        <v>44684</v>
      </c>
      <c r="C65">
        <v>1166</v>
      </c>
      <c r="D65" t="s">
        <v>19</v>
      </c>
      <c r="E65" t="s">
        <v>17</v>
      </c>
      <c r="F65">
        <v>6</v>
      </c>
      <c r="G65">
        <v>122.49</v>
      </c>
      <c r="H65">
        <v>0.16</v>
      </c>
      <c r="I65" t="s">
        <v>18</v>
      </c>
      <c r="J65">
        <v>8</v>
      </c>
      <c r="K65">
        <v>3.4</v>
      </c>
      <c r="L65">
        <v>617.35</v>
      </c>
    </row>
    <row r="66" spans="1:12" x14ac:dyDescent="0.35">
      <c r="A66">
        <v>10065</v>
      </c>
      <c r="B66" s="1">
        <v>44715</v>
      </c>
      <c r="C66">
        <v>1273</v>
      </c>
      <c r="D66" t="s">
        <v>19</v>
      </c>
      <c r="E66" t="s">
        <v>13</v>
      </c>
      <c r="F66">
        <v>6</v>
      </c>
      <c r="G66">
        <v>314.22000000000003</v>
      </c>
      <c r="H66">
        <v>0.05</v>
      </c>
      <c r="I66" t="s">
        <v>14</v>
      </c>
      <c r="J66">
        <v>3</v>
      </c>
      <c r="K66">
        <v>2.4</v>
      </c>
      <c r="L66">
        <v>1791.05</v>
      </c>
    </row>
    <row r="67" spans="1:12" x14ac:dyDescent="0.35">
      <c r="A67">
        <v>10066</v>
      </c>
      <c r="B67" s="1">
        <v>44745</v>
      </c>
      <c r="C67">
        <v>1387</v>
      </c>
      <c r="D67" t="s">
        <v>29</v>
      </c>
      <c r="E67" t="s">
        <v>13</v>
      </c>
      <c r="F67">
        <v>4</v>
      </c>
      <c r="G67">
        <v>69.56</v>
      </c>
      <c r="H67">
        <v>0.25</v>
      </c>
      <c r="I67" t="s">
        <v>14</v>
      </c>
      <c r="J67">
        <v>1</v>
      </c>
      <c r="K67">
        <v>3.1</v>
      </c>
      <c r="L67">
        <v>208.68</v>
      </c>
    </row>
    <row r="68" spans="1:12" x14ac:dyDescent="0.35">
      <c r="A68">
        <v>10067</v>
      </c>
      <c r="B68" s="1">
        <v>44776</v>
      </c>
      <c r="C68">
        <v>1600</v>
      </c>
      <c r="D68" t="s">
        <v>29</v>
      </c>
      <c r="E68" t="s">
        <v>21</v>
      </c>
      <c r="F68">
        <v>6</v>
      </c>
      <c r="G68">
        <v>553.72</v>
      </c>
      <c r="H68">
        <v>7.0000000000000007E-2</v>
      </c>
      <c r="I68" t="s">
        <v>16</v>
      </c>
      <c r="J68">
        <v>7</v>
      </c>
      <c r="K68">
        <v>4.2</v>
      </c>
      <c r="L68">
        <v>3089.76</v>
      </c>
    </row>
    <row r="69" spans="1:12" x14ac:dyDescent="0.35">
      <c r="A69">
        <v>10068</v>
      </c>
      <c r="B69" s="1">
        <v>44807</v>
      </c>
      <c r="C69">
        <v>1315</v>
      </c>
      <c r="D69" t="s">
        <v>12</v>
      </c>
      <c r="E69" t="s">
        <v>17</v>
      </c>
      <c r="F69">
        <v>7</v>
      </c>
      <c r="G69">
        <v>216.22</v>
      </c>
      <c r="H69">
        <v>0.26</v>
      </c>
      <c r="I69" t="s">
        <v>16</v>
      </c>
      <c r="J69">
        <v>1</v>
      </c>
      <c r="K69">
        <v>4.2</v>
      </c>
      <c r="L69">
        <v>1120.02</v>
      </c>
    </row>
    <row r="70" spans="1:12" x14ac:dyDescent="0.35">
      <c r="A70">
        <v>10069</v>
      </c>
      <c r="B70" s="1">
        <v>44837</v>
      </c>
      <c r="C70">
        <v>1013</v>
      </c>
      <c r="D70" t="s">
        <v>29</v>
      </c>
      <c r="E70" t="s">
        <v>21</v>
      </c>
      <c r="F70">
        <v>4</v>
      </c>
      <c r="G70">
        <v>546.26</v>
      </c>
      <c r="H70">
        <v>0.17</v>
      </c>
      <c r="I70" t="s">
        <v>18</v>
      </c>
      <c r="J70">
        <v>11</v>
      </c>
      <c r="K70">
        <v>3.8</v>
      </c>
      <c r="L70">
        <v>1813.58</v>
      </c>
    </row>
    <row r="71" spans="1:12" x14ac:dyDescent="0.35">
      <c r="A71">
        <v>10070</v>
      </c>
      <c r="B71" s="1">
        <v>44868</v>
      </c>
      <c r="C71">
        <v>1241</v>
      </c>
      <c r="D71" t="s">
        <v>12</v>
      </c>
      <c r="E71" t="s">
        <v>17</v>
      </c>
      <c r="F71">
        <v>7</v>
      </c>
      <c r="G71">
        <v>567.75</v>
      </c>
      <c r="H71">
        <v>0.16</v>
      </c>
      <c r="I71" t="s">
        <v>16</v>
      </c>
      <c r="J71">
        <v>1</v>
      </c>
      <c r="K71">
        <v>4.5</v>
      </c>
      <c r="L71">
        <v>3338.37</v>
      </c>
    </row>
    <row r="72" spans="1:12" x14ac:dyDescent="0.35">
      <c r="A72">
        <v>10071</v>
      </c>
      <c r="B72" s="1">
        <v>44898</v>
      </c>
      <c r="C72">
        <v>1776</v>
      </c>
      <c r="D72" t="s">
        <v>29</v>
      </c>
      <c r="E72" t="s">
        <v>13</v>
      </c>
      <c r="F72">
        <v>1</v>
      </c>
      <c r="G72">
        <v>18.59</v>
      </c>
      <c r="H72">
        <v>0.3</v>
      </c>
      <c r="I72" t="s">
        <v>16</v>
      </c>
      <c r="J72">
        <v>1</v>
      </c>
      <c r="K72">
        <v>1.8</v>
      </c>
      <c r="L72">
        <v>13.01</v>
      </c>
    </row>
    <row r="73" spans="1:12" x14ac:dyDescent="0.35">
      <c r="A73">
        <v>10072</v>
      </c>
      <c r="B73" t="s">
        <v>58</v>
      </c>
      <c r="C73">
        <v>1345</v>
      </c>
      <c r="D73" t="s">
        <v>19</v>
      </c>
      <c r="E73" t="s">
        <v>21</v>
      </c>
      <c r="F73">
        <v>3</v>
      </c>
      <c r="G73">
        <v>286.52</v>
      </c>
      <c r="H73">
        <v>0.25</v>
      </c>
      <c r="I73" t="s">
        <v>16</v>
      </c>
      <c r="J73">
        <v>4</v>
      </c>
      <c r="K73">
        <v>1.7</v>
      </c>
      <c r="L73">
        <v>644.66999999999996</v>
      </c>
    </row>
    <row r="74" spans="1:12" x14ac:dyDescent="0.35">
      <c r="A74">
        <v>10073</v>
      </c>
      <c r="B74" t="s">
        <v>59</v>
      </c>
      <c r="C74">
        <v>1564</v>
      </c>
      <c r="D74" t="s">
        <v>19</v>
      </c>
      <c r="E74" t="s">
        <v>21</v>
      </c>
      <c r="F74">
        <v>3</v>
      </c>
      <c r="G74">
        <v>29.42</v>
      </c>
      <c r="H74">
        <v>0.01</v>
      </c>
      <c r="I74" t="s">
        <v>14</v>
      </c>
      <c r="J74">
        <v>4</v>
      </c>
      <c r="K74">
        <v>4.2</v>
      </c>
      <c r="L74">
        <v>87.38</v>
      </c>
    </row>
    <row r="75" spans="1:12" x14ac:dyDescent="0.35">
      <c r="A75">
        <v>10074</v>
      </c>
      <c r="B75" t="s">
        <v>60</v>
      </c>
      <c r="C75">
        <v>1897</v>
      </c>
      <c r="D75" t="s">
        <v>29</v>
      </c>
      <c r="E75" t="s">
        <v>17</v>
      </c>
      <c r="F75">
        <v>2</v>
      </c>
      <c r="G75">
        <v>546.59</v>
      </c>
      <c r="H75">
        <v>0.1</v>
      </c>
      <c r="I75" t="s">
        <v>16</v>
      </c>
      <c r="J75">
        <v>10</v>
      </c>
      <c r="K75">
        <v>2.2999999999999998</v>
      </c>
      <c r="L75">
        <v>983.86</v>
      </c>
    </row>
    <row r="76" spans="1:12" x14ac:dyDescent="0.35">
      <c r="A76">
        <v>10075</v>
      </c>
      <c r="B76" t="s">
        <v>61</v>
      </c>
      <c r="C76">
        <v>1339</v>
      </c>
      <c r="D76" t="s">
        <v>15</v>
      </c>
      <c r="E76" t="s">
        <v>20</v>
      </c>
      <c r="F76">
        <v>1</v>
      </c>
      <c r="G76">
        <v>318.27</v>
      </c>
      <c r="H76">
        <v>0.3</v>
      </c>
      <c r="I76" t="s">
        <v>18</v>
      </c>
      <c r="J76">
        <v>11</v>
      </c>
      <c r="K76">
        <v>3</v>
      </c>
      <c r="L76">
        <v>222.79</v>
      </c>
    </row>
    <row r="77" spans="1:12" x14ac:dyDescent="0.35">
      <c r="A77">
        <v>10076</v>
      </c>
      <c r="B77" t="s">
        <v>62</v>
      </c>
      <c r="C77">
        <v>1091</v>
      </c>
      <c r="D77" t="s">
        <v>19</v>
      </c>
      <c r="E77" t="s">
        <v>17</v>
      </c>
      <c r="F77">
        <v>6</v>
      </c>
      <c r="G77">
        <v>58.84</v>
      </c>
      <c r="H77">
        <v>0.01</v>
      </c>
      <c r="I77" t="s">
        <v>16</v>
      </c>
      <c r="J77">
        <v>6</v>
      </c>
      <c r="K77">
        <v>4</v>
      </c>
      <c r="L77">
        <v>349.51</v>
      </c>
    </row>
    <row r="78" spans="1:12" x14ac:dyDescent="0.35">
      <c r="A78">
        <v>10077</v>
      </c>
      <c r="B78" t="s">
        <v>63</v>
      </c>
      <c r="C78">
        <v>1366</v>
      </c>
      <c r="D78" t="s">
        <v>15</v>
      </c>
      <c r="E78" t="s">
        <v>20</v>
      </c>
      <c r="F78">
        <v>1</v>
      </c>
      <c r="G78">
        <v>79.510000000000005</v>
      </c>
      <c r="H78">
        <v>0.19</v>
      </c>
      <c r="I78" t="s">
        <v>16</v>
      </c>
      <c r="J78">
        <v>10</v>
      </c>
      <c r="K78">
        <v>2.6</v>
      </c>
      <c r="L78">
        <v>64.400000000000006</v>
      </c>
    </row>
    <row r="79" spans="1:12" x14ac:dyDescent="0.35">
      <c r="A79">
        <v>10078</v>
      </c>
      <c r="B79" t="s">
        <v>64</v>
      </c>
      <c r="C79">
        <v>1955</v>
      </c>
      <c r="D79" t="s">
        <v>12</v>
      </c>
      <c r="E79" t="s">
        <v>17</v>
      </c>
      <c r="F79">
        <v>5</v>
      </c>
      <c r="G79">
        <v>239.35</v>
      </c>
      <c r="H79">
        <v>0.25</v>
      </c>
      <c r="I79" t="s">
        <v>16</v>
      </c>
      <c r="J79">
        <v>3</v>
      </c>
      <c r="K79">
        <v>1.5</v>
      </c>
      <c r="L79">
        <v>897.56</v>
      </c>
    </row>
    <row r="80" spans="1:12" x14ac:dyDescent="0.35">
      <c r="A80">
        <v>10079</v>
      </c>
      <c r="B80" t="s">
        <v>65</v>
      </c>
      <c r="C80">
        <v>1454</v>
      </c>
      <c r="D80" t="s">
        <v>15</v>
      </c>
      <c r="E80" t="s">
        <v>13</v>
      </c>
      <c r="F80">
        <v>3</v>
      </c>
      <c r="G80">
        <v>565.04</v>
      </c>
      <c r="H80">
        <v>0.22</v>
      </c>
      <c r="I80" t="s">
        <v>16</v>
      </c>
      <c r="J80">
        <v>10</v>
      </c>
      <c r="K80">
        <v>3.7</v>
      </c>
      <c r="L80">
        <v>1322.19</v>
      </c>
    </row>
    <row r="81" spans="1:12" x14ac:dyDescent="0.35">
      <c r="A81">
        <v>10080</v>
      </c>
      <c r="B81" t="s">
        <v>66</v>
      </c>
      <c r="C81">
        <v>1427</v>
      </c>
      <c r="D81" t="s">
        <v>15</v>
      </c>
      <c r="E81" t="s">
        <v>21</v>
      </c>
      <c r="F81">
        <v>6</v>
      </c>
      <c r="G81">
        <v>420.35</v>
      </c>
      <c r="H81">
        <v>0.27</v>
      </c>
      <c r="I81" t="s">
        <v>14</v>
      </c>
      <c r="J81">
        <v>6</v>
      </c>
      <c r="K81">
        <v>4.3</v>
      </c>
      <c r="L81">
        <v>1841.13</v>
      </c>
    </row>
    <row r="82" spans="1:12" x14ac:dyDescent="0.35">
      <c r="A82">
        <v>10081</v>
      </c>
      <c r="B82" t="s">
        <v>67</v>
      </c>
      <c r="C82">
        <v>1508</v>
      </c>
      <c r="D82" t="s">
        <v>15</v>
      </c>
      <c r="E82" t="s">
        <v>17</v>
      </c>
      <c r="F82">
        <v>7</v>
      </c>
      <c r="G82">
        <v>522.55999999999995</v>
      </c>
      <c r="H82">
        <v>0.25</v>
      </c>
      <c r="I82" t="s">
        <v>14</v>
      </c>
      <c r="J82">
        <v>7</v>
      </c>
      <c r="K82">
        <v>1.1000000000000001</v>
      </c>
      <c r="L82">
        <v>2743.44</v>
      </c>
    </row>
    <row r="83" spans="1:12" x14ac:dyDescent="0.35">
      <c r="A83">
        <v>10082</v>
      </c>
      <c r="B83" t="s">
        <v>68</v>
      </c>
      <c r="C83">
        <v>1775</v>
      </c>
      <c r="D83" t="s">
        <v>19</v>
      </c>
      <c r="E83" t="s">
        <v>13</v>
      </c>
      <c r="F83">
        <v>7</v>
      </c>
      <c r="G83">
        <v>229.38</v>
      </c>
      <c r="H83">
        <v>0.24</v>
      </c>
      <c r="I83" t="s">
        <v>18</v>
      </c>
      <c r="J83">
        <v>11</v>
      </c>
      <c r="K83">
        <v>3.3</v>
      </c>
      <c r="L83">
        <v>1220.3</v>
      </c>
    </row>
    <row r="84" spans="1:12" x14ac:dyDescent="0.35">
      <c r="A84">
        <v>10083</v>
      </c>
      <c r="B84" t="s">
        <v>69</v>
      </c>
      <c r="C84">
        <v>1942</v>
      </c>
      <c r="D84" t="s">
        <v>15</v>
      </c>
      <c r="E84" t="s">
        <v>17</v>
      </c>
      <c r="F84">
        <v>3</v>
      </c>
      <c r="G84">
        <v>40.28</v>
      </c>
      <c r="H84">
        <v>0.28999999999999998</v>
      </c>
      <c r="I84" t="s">
        <v>16</v>
      </c>
      <c r="J84">
        <v>1</v>
      </c>
      <c r="K84">
        <v>2.9</v>
      </c>
      <c r="L84">
        <v>85.8</v>
      </c>
    </row>
    <row r="85" spans="1:12" x14ac:dyDescent="0.35">
      <c r="A85">
        <v>10084</v>
      </c>
      <c r="B85" t="s">
        <v>70</v>
      </c>
      <c r="C85">
        <v>1034</v>
      </c>
      <c r="D85" t="s">
        <v>15</v>
      </c>
      <c r="E85" t="s">
        <v>21</v>
      </c>
      <c r="F85">
        <v>1</v>
      </c>
      <c r="G85">
        <v>584.98</v>
      </c>
      <c r="H85">
        <v>0.23</v>
      </c>
      <c r="I85" t="s">
        <v>18</v>
      </c>
      <c r="J85">
        <v>6</v>
      </c>
      <c r="K85">
        <v>2</v>
      </c>
      <c r="L85">
        <v>450.43</v>
      </c>
    </row>
    <row r="86" spans="1:12" x14ac:dyDescent="0.35">
      <c r="A86">
        <v>10085</v>
      </c>
      <c r="B86" t="s">
        <v>71</v>
      </c>
      <c r="C86">
        <v>1205</v>
      </c>
      <c r="D86" t="s">
        <v>19</v>
      </c>
      <c r="E86" t="s">
        <v>17</v>
      </c>
      <c r="F86">
        <v>6</v>
      </c>
      <c r="G86">
        <v>25.05</v>
      </c>
      <c r="H86">
        <v>0.14000000000000001</v>
      </c>
      <c r="I86" t="s">
        <v>16</v>
      </c>
      <c r="J86">
        <v>10</v>
      </c>
      <c r="K86">
        <v>1.6</v>
      </c>
      <c r="L86">
        <v>129.26</v>
      </c>
    </row>
    <row r="87" spans="1:12" x14ac:dyDescent="0.35">
      <c r="A87">
        <v>10086</v>
      </c>
      <c r="B87" t="s">
        <v>72</v>
      </c>
      <c r="C87">
        <v>1080</v>
      </c>
      <c r="D87" t="s">
        <v>29</v>
      </c>
      <c r="E87" t="s">
        <v>20</v>
      </c>
      <c r="F87">
        <v>2</v>
      </c>
      <c r="G87">
        <v>569.38</v>
      </c>
      <c r="H87">
        <v>0.17</v>
      </c>
      <c r="I87" t="s">
        <v>16</v>
      </c>
      <c r="J87">
        <v>1</v>
      </c>
      <c r="K87">
        <v>1.8</v>
      </c>
      <c r="L87">
        <v>945.17</v>
      </c>
    </row>
    <row r="88" spans="1:12" x14ac:dyDescent="0.35">
      <c r="A88">
        <v>10087</v>
      </c>
      <c r="B88" t="s">
        <v>73</v>
      </c>
      <c r="C88">
        <v>1931</v>
      </c>
      <c r="D88" t="s">
        <v>15</v>
      </c>
      <c r="E88" t="s">
        <v>21</v>
      </c>
      <c r="F88">
        <v>7</v>
      </c>
      <c r="G88">
        <v>230.68</v>
      </c>
      <c r="H88">
        <v>0.25</v>
      </c>
      <c r="I88" t="s">
        <v>18</v>
      </c>
      <c r="J88">
        <v>7</v>
      </c>
      <c r="K88">
        <v>3.9</v>
      </c>
      <c r="L88">
        <v>1211.07</v>
      </c>
    </row>
    <row r="89" spans="1:12" x14ac:dyDescent="0.35">
      <c r="A89">
        <v>10088</v>
      </c>
      <c r="B89" t="s">
        <v>74</v>
      </c>
      <c r="C89">
        <v>1561</v>
      </c>
      <c r="D89" t="s">
        <v>29</v>
      </c>
      <c r="E89" t="s">
        <v>20</v>
      </c>
      <c r="F89">
        <v>1</v>
      </c>
      <c r="G89">
        <v>20.9</v>
      </c>
      <c r="H89">
        <v>0.31</v>
      </c>
      <c r="I89" t="s">
        <v>18</v>
      </c>
      <c r="J89">
        <v>10</v>
      </c>
      <c r="K89">
        <v>3.1</v>
      </c>
      <c r="L89">
        <v>14.42</v>
      </c>
    </row>
    <row r="90" spans="1:12" x14ac:dyDescent="0.35">
      <c r="A90">
        <v>10089</v>
      </c>
      <c r="B90" t="s">
        <v>75</v>
      </c>
      <c r="C90">
        <v>1871</v>
      </c>
      <c r="D90" t="s">
        <v>12</v>
      </c>
      <c r="E90" t="s">
        <v>13</v>
      </c>
      <c r="F90">
        <v>2</v>
      </c>
      <c r="G90">
        <v>418.16</v>
      </c>
      <c r="H90">
        <v>0.1</v>
      </c>
      <c r="I90" t="s">
        <v>16</v>
      </c>
      <c r="J90">
        <v>5</v>
      </c>
      <c r="K90">
        <v>4.9000000000000004</v>
      </c>
      <c r="L90">
        <v>752.69</v>
      </c>
    </row>
    <row r="91" spans="1:12" x14ac:dyDescent="0.35">
      <c r="A91">
        <v>10090</v>
      </c>
      <c r="B91" t="s">
        <v>76</v>
      </c>
      <c r="C91">
        <v>1387</v>
      </c>
      <c r="D91" t="s">
        <v>19</v>
      </c>
      <c r="E91" t="s">
        <v>13</v>
      </c>
      <c r="F91">
        <v>6</v>
      </c>
      <c r="G91">
        <v>588.62</v>
      </c>
      <c r="H91">
        <v>0.12</v>
      </c>
      <c r="I91" t="s">
        <v>16</v>
      </c>
      <c r="J91">
        <v>10</v>
      </c>
      <c r="K91">
        <v>2</v>
      </c>
      <c r="L91">
        <v>3107.91</v>
      </c>
    </row>
    <row r="92" spans="1:12" x14ac:dyDescent="0.35">
      <c r="A92">
        <v>10091</v>
      </c>
      <c r="B92" s="1">
        <v>44565</v>
      </c>
      <c r="C92">
        <v>1001</v>
      </c>
      <c r="D92" t="s">
        <v>29</v>
      </c>
      <c r="E92" t="s">
        <v>17</v>
      </c>
      <c r="F92">
        <v>3</v>
      </c>
      <c r="G92">
        <v>579.89</v>
      </c>
      <c r="H92">
        <v>0.33</v>
      </c>
      <c r="I92" t="s">
        <v>14</v>
      </c>
      <c r="J92">
        <v>4</v>
      </c>
      <c r="K92">
        <v>4.8</v>
      </c>
      <c r="L92">
        <v>1165.58</v>
      </c>
    </row>
    <row r="93" spans="1:12" x14ac:dyDescent="0.35">
      <c r="A93">
        <v>10092</v>
      </c>
      <c r="B93" s="1">
        <v>44596</v>
      </c>
      <c r="C93">
        <v>1389</v>
      </c>
      <c r="D93" t="s">
        <v>15</v>
      </c>
      <c r="E93" t="s">
        <v>20</v>
      </c>
      <c r="F93">
        <v>5</v>
      </c>
      <c r="G93">
        <v>109.15</v>
      </c>
      <c r="H93">
        <v>0.2</v>
      </c>
      <c r="I93" t="s">
        <v>16</v>
      </c>
      <c r="J93">
        <v>1</v>
      </c>
      <c r="K93">
        <v>3.1</v>
      </c>
      <c r="L93">
        <v>436.6</v>
      </c>
    </row>
    <row r="94" spans="1:12" x14ac:dyDescent="0.35">
      <c r="A94">
        <v>10093</v>
      </c>
      <c r="B94" s="1">
        <v>44624</v>
      </c>
      <c r="C94">
        <v>1565</v>
      </c>
      <c r="D94" t="s">
        <v>12</v>
      </c>
      <c r="E94" t="s">
        <v>20</v>
      </c>
      <c r="F94">
        <v>4</v>
      </c>
      <c r="G94">
        <v>121.03</v>
      </c>
      <c r="H94">
        <v>0.06</v>
      </c>
      <c r="I94" t="s">
        <v>14</v>
      </c>
      <c r="J94">
        <v>9</v>
      </c>
      <c r="K94">
        <v>1.6</v>
      </c>
      <c r="L94">
        <v>455.07</v>
      </c>
    </row>
    <row r="95" spans="1:12" x14ac:dyDescent="0.35">
      <c r="A95">
        <v>10094</v>
      </c>
      <c r="B95" s="1">
        <v>44655</v>
      </c>
      <c r="C95">
        <v>1105</v>
      </c>
      <c r="D95" t="s">
        <v>19</v>
      </c>
      <c r="E95" t="s">
        <v>21</v>
      </c>
      <c r="F95">
        <v>3</v>
      </c>
      <c r="G95">
        <v>345.84</v>
      </c>
      <c r="H95">
        <v>0.23</v>
      </c>
      <c r="I95" t="s">
        <v>14</v>
      </c>
      <c r="J95">
        <v>7</v>
      </c>
      <c r="K95">
        <v>1.6</v>
      </c>
      <c r="L95">
        <v>798.89</v>
      </c>
    </row>
    <row r="96" spans="1:12" x14ac:dyDescent="0.35">
      <c r="A96">
        <v>10095</v>
      </c>
      <c r="B96" s="1">
        <v>44685</v>
      </c>
      <c r="C96">
        <v>1771</v>
      </c>
      <c r="D96" t="s">
        <v>29</v>
      </c>
      <c r="E96" t="s">
        <v>20</v>
      </c>
      <c r="F96">
        <v>2</v>
      </c>
      <c r="G96">
        <v>387.82</v>
      </c>
      <c r="H96">
        <v>0.35</v>
      </c>
      <c r="I96" t="s">
        <v>18</v>
      </c>
      <c r="J96">
        <v>2</v>
      </c>
      <c r="K96">
        <v>3.4</v>
      </c>
      <c r="L96">
        <v>504.17</v>
      </c>
    </row>
    <row r="97" spans="1:12" x14ac:dyDescent="0.35">
      <c r="A97">
        <v>10096</v>
      </c>
      <c r="B97" s="1">
        <v>44716</v>
      </c>
      <c r="C97">
        <v>1821</v>
      </c>
      <c r="D97" t="s">
        <v>15</v>
      </c>
      <c r="E97" t="s">
        <v>20</v>
      </c>
      <c r="F97">
        <v>1</v>
      </c>
      <c r="G97">
        <v>447.56</v>
      </c>
      <c r="H97">
        <v>0.28999999999999998</v>
      </c>
      <c r="I97" t="s">
        <v>16</v>
      </c>
      <c r="J97">
        <v>4</v>
      </c>
      <c r="K97">
        <v>4.3</v>
      </c>
      <c r="L97">
        <v>317.77</v>
      </c>
    </row>
    <row r="98" spans="1:12" x14ac:dyDescent="0.35">
      <c r="A98">
        <v>10097</v>
      </c>
      <c r="B98" s="1">
        <v>44746</v>
      </c>
      <c r="C98">
        <v>1476</v>
      </c>
      <c r="D98" t="s">
        <v>19</v>
      </c>
      <c r="E98" t="s">
        <v>21</v>
      </c>
      <c r="F98">
        <v>7</v>
      </c>
      <c r="G98">
        <v>120.91</v>
      </c>
      <c r="H98">
        <v>0.26</v>
      </c>
      <c r="I98" t="s">
        <v>18</v>
      </c>
      <c r="J98">
        <v>4</v>
      </c>
      <c r="K98">
        <v>4</v>
      </c>
      <c r="L98">
        <v>626.30999999999995</v>
      </c>
    </row>
    <row r="99" spans="1:12" x14ac:dyDescent="0.35">
      <c r="A99">
        <v>10098</v>
      </c>
      <c r="B99" s="1">
        <v>44777</v>
      </c>
      <c r="C99">
        <v>1702</v>
      </c>
      <c r="D99" t="s">
        <v>19</v>
      </c>
      <c r="E99" t="s">
        <v>21</v>
      </c>
      <c r="F99">
        <v>6</v>
      </c>
      <c r="G99">
        <v>576.02</v>
      </c>
      <c r="H99">
        <v>7.0000000000000007E-2</v>
      </c>
      <c r="I99" t="s">
        <v>16</v>
      </c>
      <c r="J99">
        <v>8</v>
      </c>
      <c r="K99">
        <v>3.6</v>
      </c>
      <c r="L99">
        <v>3214.19</v>
      </c>
    </row>
    <row r="100" spans="1:12" x14ac:dyDescent="0.35">
      <c r="A100">
        <v>10099</v>
      </c>
      <c r="B100" s="1">
        <v>44808</v>
      </c>
      <c r="C100">
        <v>1401</v>
      </c>
      <c r="D100" t="s">
        <v>29</v>
      </c>
      <c r="E100" t="s">
        <v>20</v>
      </c>
      <c r="F100">
        <v>3</v>
      </c>
      <c r="G100">
        <v>388.66</v>
      </c>
      <c r="H100">
        <v>0.31</v>
      </c>
      <c r="I100" t="s">
        <v>16</v>
      </c>
      <c r="J100">
        <v>2</v>
      </c>
      <c r="K100">
        <v>1.7</v>
      </c>
      <c r="L100">
        <v>804.53</v>
      </c>
    </row>
    <row r="101" spans="1:12" x14ac:dyDescent="0.35">
      <c r="A101">
        <v>10100</v>
      </c>
      <c r="B101" s="1">
        <v>44838</v>
      </c>
      <c r="C101">
        <v>1729</v>
      </c>
      <c r="D101" t="s">
        <v>29</v>
      </c>
      <c r="E101" t="s">
        <v>17</v>
      </c>
      <c r="F101">
        <v>7</v>
      </c>
      <c r="G101">
        <v>510.52</v>
      </c>
      <c r="H101">
        <v>0.18</v>
      </c>
      <c r="I101" t="s">
        <v>18</v>
      </c>
      <c r="J101">
        <v>11</v>
      </c>
      <c r="K101">
        <v>1.4</v>
      </c>
      <c r="L101">
        <v>2930.38</v>
      </c>
    </row>
    <row r="102" spans="1:12" x14ac:dyDescent="0.35">
      <c r="A102">
        <v>10101</v>
      </c>
      <c r="B102" s="1">
        <v>44869</v>
      </c>
      <c r="C102">
        <v>1555</v>
      </c>
      <c r="D102" t="s">
        <v>19</v>
      </c>
      <c r="E102" t="s">
        <v>21</v>
      </c>
      <c r="F102">
        <v>7</v>
      </c>
      <c r="G102">
        <v>330.94</v>
      </c>
      <c r="H102">
        <v>0.31</v>
      </c>
      <c r="I102" t="s">
        <v>16</v>
      </c>
      <c r="J102">
        <v>5</v>
      </c>
      <c r="K102">
        <v>1</v>
      </c>
      <c r="L102">
        <v>1598.44</v>
      </c>
    </row>
    <row r="103" spans="1:12" x14ac:dyDescent="0.35">
      <c r="A103">
        <v>10102</v>
      </c>
      <c r="B103" s="1">
        <v>44899</v>
      </c>
      <c r="C103">
        <v>1161</v>
      </c>
      <c r="D103" t="s">
        <v>15</v>
      </c>
      <c r="E103" t="s">
        <v>21</v>
      </c>
      <c r="F103">
        <v>5</v>
      </c>
      <c r="G103">
        <v>257.35000000000002</v>
      </c>
      <c r="H103">
        <v>0.12</v>
      </c>
      <c r="I103" t="s">
        <v>16</v>
      </c>
      <c r="J103">
        <v>10</v>
      </c>
      <c r="K103">
        <v>1.4</v>
      </c>
      <c r="L103">
        <v>1132.3399999999999</v>
      </c>
    </row>
    <row r="104" spans="1:12" x14ac:dyDescent="0.35">
      <c r="A104">
        <v>10103</v>
      </c>
      <c r="B104" t="s">
        <v>77</v>
      </c>
      <c r="C104">
        <v>1201</v>
      </c>
      <c r="D104" t="s">
        <v>15</v>
      </c>
      <c r="E104" t="s">
        <v>20</v>
      </c>
      <c r="F104">
        <v>6</v>
      </c>
      <c r="G104">
        <v>586.65</v>
      </c>
      <c r="H104">
        <v>0.02</v>
      </c>
      <c r="I104" t="s">
        <v>18</v>
      </c>
      <c r="J104">
        <v>8</v>
      </c>
      <c r="K104">
        <v>4.0999999999999996</v>
      </c>
      <c r="L104">
        <v>3449.5</v>
      </c>
    </row>
    <row r="105" spans="1:12" x14ac:dyDescent="0.35">
      <c r="A105">
        <v>10104</v>
      </c>
      <c r="B105" t="s">
        <v>78</v>
      </c>
      <c r="C105">
        <v>1957</v>
      </c>
      <c r="D105" t="s">
        <v>29</v>
      </c>
      <c r="E105" t="s">
        <v>20</v>
      </c>
      <c r="F105">
        <v>2</v>
      </c>
      <c r="G105">
        <v>355.54</v>
      </c>
      <c r="H105">
        <v>0.17</v>
      </c>
      <c r="I105" t="s">
        <v>18</v>
      </c>
      <c r="J105">
        <v>6</v>
      </c>
      <c r="K105">
        <v>4.5999999999999996</v>
      </c>
      <c r="L105">
        <v>590.20000000000005</v>
      </c>
    </row>
    <row r="106" spans="1:12" x14ac:dyDescent="0.35">
      <c r="A106">
        <v>10105</v>
      </c>
      <c r="B106" t="s">
        <v>79</v>
      </c>
      <c r="C106">
        <v>1995</v>
      </c>
      <c r="D106" t="s">
        <v>19</v>
      </c>
      <c r="E106" t="s">
        <v>21</v>
      </c>
      <c r="F106">
        <v>6</v>
      </c>
      <c r="G106">
        <v>522.12</v>
      </c>
      <c r="H106">
        <v>0.09</v>
      </c>
      <c r="I106" t="s">
        <v>16</v>
      </c>
      <c r="J106">
        <v>4</v>
      </c>
      <c r="K106">
        <v>2</v>
      </c>
      <c r="L106">
        <v>2850.78</v>
      </c>
    </row>
    <row r="107" spans="1:12" x14ac:dyDescent="0.35">
      <c r="A107">
        <v>10106</v>
      </c>
      <c r="B107" t="s">
        <v>80</v>
      </c>
      <c r="C107">
        <v>1269</v>
      </c>
      <c r="D107" t="s">
        <v>12</v>
      </c>
      <c r="E107" t="s">
        <v>20</v>
      </c>
      <c r="F107">
        <v>6</v>
      </c>
      <c r="G107">
        <v>572.67999999999995</v>
      </c>
      <c r="H107">
        <v>0.25</v>
      </c>
      <c r="I107" t="s">
        <v>16</v>
      </c>
      <c r="J107">
        <v>5</v>
      </c>
      <c r="K107">
        <v>4.2</v>
      </c>
      <c r="L107">
        <v>2577.06</v>
      </c>
    </row>
    <row r="108" spans="1:12" x14ac:dyDescent="0.35">
      <c r="A108">
        <v>10107</v>
      </c>
      <c r="B108" t="s">
        <v>81</v>
      </c>
      <c r="C108">
        <v>1862</v>
      </c>
      <c r="D108" t="s">
        <v>19</v>
      </c>
      <c r="E108" t="s">
        <v>21</v>
      </c>
      <c r="F108">
        <v>1</v>
      </c>
      <c r="G108">
        <v>410.08</v>
      </c>
      <c r="H108">
        <v>0.33</v>
      </c>
      <c r="I108" t="s">
        <v>16</v>
      </c>
      <c r="J108">
        <v>2</v>
      </c>
      <c r="K108">
        <v>1.8</v>
      </c>
      <c r="L108">
        <v>274.75</v>
      </c>
    </row>
    <row r="109" spans="1:12" x14ac:dyDescent="0.35">
      <c r="A109">
        <v>10108</v>
      </c>
      <c r="B109" t="s">
        <v>82</v>
      </c>
      <c r="C109">
        <v>1815</v>
      </c>
      <c r="D109" t="s">
        <v>15</v>
      </c>
      <c r="E109" t="s">
        <v>17</v>
      </c>
      <c r="F109">
        <v>4</v>
      </c>
      <c r="G109">
        <v>336.13</v>
      </c>
      <c r="H109">
        <v>0.24</v>
      </c>
      <c r="I109" t="s">
        <v>16</v>
      </c>
      <c r="J109">
        <v>5</v>
      </c>
      <c r="K109">
        <v>2</v>
      </c>
      <c r="L109">
        <v>1021.84</v>
      </c>
    </row>
    <row r="110" spans="1:12" x14ac:dyDescent="0.35">
      <c r="A110">
        <v>10109</v>
      </c>
      <c r="B110" t="s">
        <v>83</v>
      </c>
      <c r="C110">
        <v>1270</v>
      </c>
      <c r="D110" t="s">
        <v>19</v>
      </c>
      <c r="E110" t="s">
        <v>17</v>
      </c>
      <c r="F110">
        <v>7</v>
      </c>
      <c r="G110">
        <v>17.05</v>
      </c>
      <c r="H110">
        <v>0.31</v>
      </c>
      <c r="I110" t="s">
        <v>18</v>
      </c>
      <c r="J110">
        <v>3</v>
      </c>
      <c r="K110">
        <v>1.9</v>
      </c>
      <c r="L110">
        <v>82.35</v>
      </c>
    </row>
    <row r="111" spans="1:12" x14ac:dyDescent="0.35">
      <c r="A111">
        <v>10110</v>
      </c>
      <c r="B111" t="s">
        <v>84</v>
      </c>
      <c r="C111">
        <v>1455</v>
      </c>
      <c r="D111" t="s">
        <v>19</v>
      </c>
      <c r="E111" t="s">
        <v>21</v>
      </c>
      <c r="F111">
        <v>2</v>
      </c>
      <c r="G111">
        <v>38.409999999999997</v>
      </c>
      <c r="H111">
        <v>0.16</v>
      </c>
      <c r="I111" t="s">
        <v>18</v>
      </c>
      <c r="J111">
        <v>3</v>
      </c>
      <c r="K111">
        <v>1.2</v>
      </c>
      <c r="L111">
        <v>64.53</v>
      </c>
    </row>
    <row r="112" spans="1:12" x14ac:dyDescent="0.35">
      <c r="A112">
        <v>10111</v>
      </c>
      <c r="B112" t="s">
        <v>85</v>
      </c>
      <c r="C112">
        <v>1461</v>
      </c>
      <c r="D112" t="s">
        <v>15</v>
      </c>
      <c r="E112" t="s">
        <v>21</v>
      </c>
      <c r="F112">
        <v>1</v>
      </c>
      <c r="G112">
        <v>132.5</v>
      </c>
      <c r="H112">
        <v>0.27</v>
      </c>
      <c r="I112" t="s">
        <v>18</v>
      </c>
      <c r="J112">
        <v>7</v>
      </c>
      <c r="K112">
        <v>1.8</v>
      </c>
      <c r="L112">
        <v>96.72</v>
      </c>
    </row>
    <row r="113" spans="1:12" x14ac:dyDescent="0.35">
      <c r="A113">
        <v>10112</v>
      </c>
      <c r="B113" t="s">
        <v>86</v>
      </c>
      <c r="C113">
        <v>1726</v>
      </c>
      <c r="D113" t="s">
        <v>19</v>
      </c>
      <c r="E113" t="s">
        <v>13</v>
      </c>
      <c r="F113">
        <v>7</v>
      </c>
      <c r="G113">
        <v>123.81</v>
      </c>
      <c r="H113">
        <v>0.3</v>
      </c>
      <c r="I113" t="s">
        <v>16</v>
      </c>
      <c r="J113">
        <v>3</v>
      </c>
      <c r="K113">
        <v>2.5</v>
      </c>
      <c r="L113">
        <v>606.66999999999996</v>
      </c>
    </row>
    <row r="114" spans="1:12" x14ac:dyDescent="0.35">
      <c r="A114">
        <v>10113</v>
      </c>
      <c r="B114" t="s">
        <v>87</v>
      </c>
      <c r="C114">
        <v>1251</v>
      </c>
      <c r="D114" t="s">
        <v>29</v>
      </c>
      <c r="E114" t="s">
        <v>13</v>
      </c>
      <c r="F114">
        <v>4</v>
      </c>
      <c r="G114">
        <v>164.03</v>
      </c>
      <c r="H114">
        <v>0.25</v>
      </c>
      <c r="I114" t="s">
        <v>16</v>
      </c>
      <c r="J114">
        <v>4</v>
      </c>
      <c r="K114">
        <v>2.6</v>
      </c>
      <c r="L114">
        <v>492.09</v>
      </c>
    </row>
    <row r="115" spans="1:12" x14ac:dyDescent="0.35">
      <c r="A115">
        <v>10114</v>
      </c>
      <c r="B115" t="s">
        <v>88</v>
      </c>
      <c r="C115">
        <v>1701</v>
      </c>
      <c r="D115" t="s">
        <v>19</v>
      </c>
      <c r="E115" t="s">
        <v>20</v>
      </c>
      <c r="F115">
        <v>1</v>
      </c>
      <c r="G115">
        <v>193.39</v>
      </c>
      <c r="H115">
        <v>0.18</v>
      </c>
      <c r="I115" t="s">
        <v>16</v>
      </c>
      <c r="J115">
        <v>7</v>
      </c>
      <c r="K115">
        <v>2.2000000000000002</v>
      </c>
      <c r="L115">
        <v>158.58000000000001</v>
      </c>
    </row>
    <row r="116" spans="1:12" x14ac:dyDescent="0.35">
      <c r="A116">
        <v>10115</v>
      </c>
      <c r="B116" t="s">
        <v>89</v>
      </c>
      <c r="C116">
        <v>1295</v>
      </c>
      <c r="D116" t="s">
        <v>15</v>
      </c>
      <c r="E116" t="s">
        <v>20</v>
      </c>
      <c r="F116">
        <v>4</v>
      </c>
      <c r="G116">
        <v>225.64</v>
      </c>
      <c r="H116">
        <v>0.22</v>
      </c>
      <c r="I116" t="s">
        <v>16</v>
      </c>
      <c r="J116">
        <v>3</v>
      </c>
      <c r="K116">
        <v>3.1</v>
      </c>
      <c r="L116">
        <v>704</v>
      </c>
    </row>
    <row r="117" spans="1:12" x14ac:dyDescent="0.35">
      <c r="A117">
        <v>10116</v>
      </c>
      <c r="B117" t="s">
        <v>90</v>
      </c>
      <c r="C117">
        <v>1724</v>
      </c>
      <c r="D117" t="s">
        <v>19</v>
      </c>
      <c r="E117" t="s">
        <v>21</v>
      </c>
      <c r="F117">
        <v>4</v>
      </c>
      <c r="G117">
        <v>261.01</v>
      </c>
      <c r="H117">
        <v>0.25</v>
      </c>
      <c r="I117" t="s">
        <v>16</v>
      </c>
      <c r="J117">
        <v>10</v>
      </c>
      <c r="K117">
        <v>2.5</v>
      </c>
      <c r="L117">
        <v>783.03</v>
      </c>
    </row>
    <row r="118" spans="1:12" x14ac:dyDescent="0.35">
      <c r="A118">
        <v>10117</v>
      </c>
      <c r="B118" t="s">
        <v>91</v>
      </c>
      <c r="C118">
        <v>1719</v>
      </c>
      <c r="D118" t="s">
        <v>19</v>
      </c>
      <c r="E118" t="s">
        <v>21</v>
      </c>
      <c r="F118">
        <v>4</v>
      </c>
      <c r="G118">
        <v>72.84</v>
      </c>
      <c r="H118">
        <v>0.09</v>
      </c>
      <c r="I118" t="s">
        <v>16</v>
      </c>
      <c r="J118">
        <v>10</v>
      </c>
      <c r="K118">
        <v>4.9000000000000004</v>
      </c>
      <c r="L118">
        <v>265.14</v>
      </c>
    </row>
    <row r="119" spans="1:12" x14ac:dyDescent="0.35">
      <c r="A119">
        <v>10118</v>
      </c>
      <c r="B119" t="s">
        <v>92</v>
      </c>
      <c r="C119">
        <v>1748</v>
      </c>
      <c r="D119" t="s">
        <v>19</v>
      </c>
      <c r="E119" t="s">
        <v>13</v>
      </c>
      <c r="F119">
        <v>1</v>
      </c>
      <c r="G119">
        <v>39.78</v>
      </c>
      <c r="H119">
        <v>0.28000000000000003</v>
      </c>
      <c r="I119" t="s">
        <v>16</v>
      </c>
      <c r="J119">
        <v>2</v>
      </c>
      <c r="K119">
        <v>4.2</v>
      </c>
      <c r="L119">
        <v>28.64</v>
      </c>
    </row>
    <row r="120" spans="1:12" x14ac:dyDescent="0.35">
      <c r="A120">
        <v>10119</v>
      </c>
      <c r="B120" t="s">
        <v>93</v>
      </c>
      <c r="C120">
        <v>1337</v>
      </c>
      <c r="D120" t="s">
        <v>15</v>
      </c>
      <c r="E120" t="s">
        <v>13</v>
      </c>
      <c r="F120">
        <v>6</v>
      </c>
      <c r="G120">
        <v>409.26</v>
      </c>
      <c r="H120">
        <v>0.33</v>
      </c>
      <c r="I120" t="s">
        <v>18</v>
      </c>
      <c r="J120">
        <v>10</v>
      </c>
      <c r="K120">
        <v>4.7</v>
      </c>
      <c r="L120">
        <v>1645.23</v>
      </c>
    </row>
    <row r="121" spans="1:12" x14ac:dyDescent="0.35">
      <c r="A121">
        <v>10120</v>
      </c>
      <c r="B121" t="s">
        <v>94</v>
      </c>
      <c r="C121">
        <v>1878</v>
      </c>
      <c r="D121" t="s">
        <v>15</v>
      </c>
      <c r="E121" t="s">
        <v>21</v>
      </c>
      <c r="F121">
        <v>4</v>
      </c>
      <c r="G121">
        <v>329.34</v>
      </c>
      <c r="H121">
        <v>0.16</v>
      </c>
      <c r="I121" t="s">
        <v>18</v>
      </c>
      <c r="J121">
        <v>7</v>
      </c>
      <c r="K121">
        <v>3.2</v>
      </c>
      <c r="L121">
        <v>1106.58</v>
      </c>
    </row>
    <row r="122" spans="1:12" x14ac:dyDescent="0.35">
      <c r="A122">
        <v>10121</v>
      </c>
      <c r="B122" s="1">
        <v>44566</v>
      </c>
      <c r="C122">
        <v>1052</v>
      </c>
      <c r="D122" t="s">
        <v>15</v>
      </c>
      <c r="E122" t="s">
        <v>17</v>
      </c>
      <c r="F122">
        <v>6</v>
      </c>
      <c r="G122">
        <v>274.82</v>
      </c>
      <c r="H122">
        <v>0.25</v>
      </c>
      <c r="I122" t="s">
        <v>18</v>
      </c>
      <c r="J122">
        <v>5</v>
      </c>
      <c r="K122">
        <v>3.7</v>
      </c>
      <c r="L122">
        <v>1236.69</v>
      </c>
    </row>
    <row r="123" spans="1:12" x14ac:dyDescent="0.35">
      <c r="A123">
        <v>10122</v>
      </c>
      <c r="B123" s="1">
        <v>44597</v>
      </c>
      <c r="C123">
        <v>1791</v>
      </c>
      <c r="D123" t="s">
        <v>15</v>
      </c>
      <c r="E123" t="s">
        <v>17</v>
      </c>
      <c r="F123">
        <v>7</v>
      </c>
      <c r="G123">
        <v>386.15</v>
      </c>
      <c r="H123">
        <v>0.26</v>
      </c>
      <c r="I123" t="s">
        <v>16</v>
      </c>
      <c r="J123">
        <v>1</v>
      </c>
      <c r="K123">
        <v>1.7</v>
      </c>
      <c r="L123">
        <v>2000.26</v>
      </c>
    </row>
    <row r="124" spans="1:12" x14ac:dyDescent="0.35">
      <c r="A124">
        <v>10123</v>
      </c>
      <c r="B124" s="1">
        <v>44625</v>
      </c>
      <c r="C124">
        <v>1921</v>
      </c>
      <c r="D124" t="s">
        <v>15</v>
      </c>
      <c r="E124" t="s">
        <v>20</v>
      </c>
      <c r="F124">
        <v>7</v>
      </c>
      <c r="G124">
        <v>499.19</v>
      </c>
      <c r="H124">
        <v>0.23</v>
      </c>
      <c r="I124" t="s">
        <v>14</v>
      </c>
      <c r="J124">
        <v>10</v>
      </c>
      <c r="K124">
        <v>4</v>
      </c>
      <c r="L124">
        <v>2690.63</v>
      </c>
    </row>
    <row r="125" spans="1:12" x14ac:dyDescent="0.35">
      <c r="A125">
        <v>10124</v>
      </c>
      <c r="B125" s="1">
        <v>44656</v>
      </c>
      <c r="C125">
        <v>1216</v>
      </c>
      <c r="D125" t="s">
        <v>19</v>
      </c>
      <c r="E125" t="s">
        <v>21</v>
      </c>
      <c r="F125">
        <v>2</v>
      </c>
      <c r="G125">
        <v>265.2</v>
      </c>
      <c r="H125">
        <v>0.19</v>
      </c>
      <c r="I125" t="s">
        <v>14</v>
      </c>
      <c r="J125">
        <v>8</v>
      </c>
      <c r="K125">
        <v>1.9</v>
      </c>
      <c r="L125">
        <v>429.62</v>
      </c>
    </row>
    <row r="126" spans="1:12" x14ac:dyDescent="0.35">
      <c r="A126">
        <v>10125</v>
      </c>
      <c r="B126" s="1">
        <v>44686</v>
      </c>
      <c r="C126">
        <v>1763</v>
      </c>
      <c r="D126" t="s">
        <v>15</v>
      </c>
      <c r="E126" t="s">
        <v>21</v>
      </c>
      <c r="F126">
        <v>5</v>
      </c>
      <c r="G126">
        <v>390.05</v>
      </c>
      <c r="H126">
        <v>0.31</v>
      </c>
      <c r="I126" t="s">
        <v>16</v>
      </c>
      <c r="J126">
        <v>3</v>
      </c>
      <c r="K126">
        <v>1.6</v>
      </c>
      <c r="L126">
        <v>1345.67</v>
      </c>
    </row>
    <row r="127" spans="1:12" x14ac:dyDescent="0.35">
      <c r="A127">
        <v>10126</v>
      </c>
      <c r="B127" s="1">
        <v>44717</v>
      </c>
      <c r="C127">
        <v>1187</v>
      </c>
      <c r="D127" t="s">
        <v>12</v>
      </c>
      <c r="E127" t="s">
        <v>20</v>
      </c>
      <c r="F127">
        <v>6</v>
      </c>
      <c r="G127">
        <v>572.84</v>
      </c>
      <c r="H127">
        <v>0.16</v>
      </c>
      <c r="I127" t="s">
        <v>18</v>
      </c>
      <c r="J127">
        <v>11</v>
      </c>
      <c r="K127">
        <v>1.2</v>
      </c>
      <c r="L127">
        <v>2887.11</v>
      </c>
    </row>
    <row r="128" spans="1:12" x14ac:dyDescent="0.35">
      <c r="A128">
        <v>10127</v>
      </c>
      <c r="B128" s="1">
        <v>44747</v>
      </c>
      <c r="C128">
        <v>1379</v>
      </c>
      <c r="D128" t="s">
        <v>15</v>
      </c>
      <c r="E128" t="s">
        <v>13</v>
      </c>
      <c r="F128">
        <v>7</v>
      </c>
      <c r="G128">
        <v>506.18</v>
      </c>
      <c r="H128">
        <v>0.02</v>
      </c>
      <c r="I128" t="s">
        <v>14</v>
      </c>
      <c r="J128">
        <v>7</v>
      </c>
      <c r="K128">
        <v>2.9</v>
      </c>
      <c r="L128">
        <v>3472.39</v>
      </c>
    </row>
    <row r="129" spans="1:12" x14ac:dyDescent="0.35">
      <c r="A129">
        <v>10128</v>
      </c>
      <c r="B129" s="1">
        <v>44778</v>
      </c>
      <c r="C129">
        <v>1492</v>
      </c>
      <c r="D129" t="s">
        <v>29</v>
      </c>
      <c r="E129" t="s">
        <v>13</v>
      </c>
      <c r="F129">
        <v>5</v>
      </c>
      <c r="G129">
        <v>264.20999999999998</v>
      </c>
      <c r="H129">
        <v>0.3</v>
      </c>
      <c r="I129" t="s">
        <v>18</v>
      </c>
      <c r="J129">
        <v>6</v>
      </c>
      <c r="K129">
        <v>2.1</v>
      </c>
      <c r="L129">
        <v>924.73</v>
      </c>
    </row>
    <row r="130" spans="1:12" x14ac:dyDescent="0.35">
      <c r="A130">
        <v>10129</v>
      </c>
      <c r="B130" s="1">
        <v>44809</v>
      </c>
      <c r="C130">
        <v>1040</v>
      </c>
      <c r="D130" t="s">
        <v>19</v>
      </c>
      <c r="E130" t="s">
        <v>17</v>
      </c>
      <c r="F130">
        <v>4</v>
      </c>
      <c r="G130">
        <v>392.16</v>
      </c>
      <c r="H130">
        <v>0.24</v>
      </c>
      <c r="I130" t="s">
        <v>16</v>
      </c>
      <c r="J130">
        <v>10</v>
      </c>
      <c r="K130">
        <v>4.9000000000000004</v>
      </c>
      <c r="L130">
        <v>1192.17</v>
      </c>
    </row>
    <row r="131" spans="1:12" x14ac:dyDescent="0.35">
      <c r="A131">
        <v>10130</v>
      </c>
      <c r="B131" s="1">
        <v>44839</v>
      </c>
      <c r="C131">
        <v>1156</v>
      </c>
      <c r="D131" t="s">
        <v>29</v>
      </c>
      <c r="E131" t="s">
        <v>21</v>
      </c>
      <c r="F131">
        <v>5</v>
      </c>
      <c r="G131">
        <v>118.59</v>
      </c>
      <c r="H131">
        <v>0.3</v>
      </c>
      <c r="I131" t="s">
        <v>18</v>
      </c>
      <c r="J131">
        <v>6</v>
      </c>
      <c r="K131">
        <v>2</v>
      </c>
      <c r="L131">
        <v>415.06</v>
      </c>
    </row>
    <row r="132" spans="1:12" x14ac:dyDescent="0.35">
      <c r="A132">
        <v>10131</v>
      </c>
      <c r="B132" s="1">
        <v>44870</v>
      </c>
      <c r="C132">
        <v>1014</v>
      </c>
      <c r="D132" t="s">
        <v>29</v>
      </c>
      <c r="E132" t="s">
        <v>13</v>
      </c>
      <c r="F132">
        <v>5</v>
      </c>
      <c r="G132">
        <v>342.91</v>
      </c>
      <c r="H132">
        <v>0.05</v>
      </c>
      <c r="I132" t="s">
        <v>18</v>
      </c>
      <c r="J132">
        <v>8</v>
      </c>
      <c r="K132">
        <v>4.5</v>
      </c>
      <c r="L132">
        <v>1628.82</v>
      </c>
    </row>
    <row r="133" spans="1:12" x14ac:dyDescent="0.35">
      <c r="A133">
        <v>10132</v>
      </c>
      <c r="B133" s="1">
        <v>44900</v>
      </c>
      <c r="C133">
        <v>1812</v>
      </c>
      <c r="D133" t="s">
        <v>15</v>
      </c>
      <c r="E133" t="s">
        <v>17</v>
      </c>
      <c r="F133">
        <v>4</v>
      </c>
      <c r="G133">
        <v>589.08000000000004</v>
      </c>
      <c r="H133">
        <v>0.01</v>
      </c>
      <c r="I133" t="s">
        <v>16</v>
      </c>
      <c r="J133">
        <v>4</v>
      </c>
      <c r="K133">
        <v>2.2999999999999998</v>
      </c>
      <c r="L133">
        <v>2332.7600000000002</v>
      </c>
    </row>
    <row r="134" spans="1:12" x14ac:dyDescent="0.35">
      <c r="A134">
        <v>10133</v>
      </c>
      <c r="B134" t="s">
        <v>95</v>
      </c>
      <c r="C134">
        <v>1064</v>
      </c>
      <c r="D134" t="s">
        <v>12</v>
      </c>
      <c r="E134" t="s">
        <v>17</v>
      </c>
      <c r="F134">
        <v>6</v>
      </c>
      <c r="G134">
        <v>318.20999999999998</v>
      </c>
      <c r="H134">
        <v>0.33</v>
      </c>
      <c r="I134" t="s">
        <v>14</v>
      </c>
      <c r="J134">
        <v>4</v>
      </c>
      <c r="K134">
        <v>4</v>
      </c>
      <c r="L134">
        <v>1279.2</v>
      </c>
    </row>
    <row r="135" spans="1:12" x14ac:dyDescent="0.35">
      <c r="A135">
        <v>10134</v>
      </c>
      <c r="B135" t="s">
        <v>96</v>
      </c>
      <c r="C135">
        <v>1856</v>
      </c>
      <c r="D135" t="s">
        <v>19</v>
      </c>
      <c r="E135" t="s">
        <v>17</v>
      </c>
      <c r="F135">
        <v>4</v>
      </c>
      <c r="G135">
        <v>557.66999999999996</v>
      </c>
      <c r="H135">
        <v>0.05</v>
      </c>
      <c r="I135" t="s">
        <v>18</v>
      </c>
      <c r="J135">
        <v>3</v>
      </c>
      <c r="K135">
        <v>3.6</v>
      </c>
      <c r="L135">
        <v>2119.15</v>
      </c>
    </row>
    <row r="136" spans="1:12" x14ac:dyDescent="0.35">
      <c r="A136">
        <v>10135</v>
      </c>
      <c r="B136" t="s">
        <v>97</v>
      </c>
      <c r="C136">
        <v>1838</v>
      </c>
      <c r="D136" t="s">
        <v>19</v>
      </c>
      <c r="E136" t="s">
        <v>13</v>
      </c>
      <c r="F136">
        <v>2</v>
      </c>
      <c r="G136">
        <v>253.29</v>
      </c>
      <c r="H136">
        <v>0.28000000000000003</v>
      </c>
      <c r="I136" t="s">
        <v>16</v>
      </c>
      <c r="J136">
        <v>1</v>
      </c>
      <c r="K136">
        <v>3.2</v>
      </c>
      <c r="L136">
        <v>364.74</v>
      </c>
    </row>
    <row r="137" spans="1:12" x14ac:dyDescent="0.35">
      <c r="A137">
        <v>10136</v>
      </c>
      <c r="B137" t="s">
        <v>98</v>
      </c>
      <c r="C137">
        <v>1520</v>
      </c>
      <c r="D137" t="s">
        <v>29</v>
      </c>
      <c r="E137" t="s">
        <v>13</v>
      </c>
      <c r="F137">
        <v>3</v>
      </c>
      <c r="G137">
        <v>599.32000000000005</v>
      </c>
      <c r="H137">
        <v>0.28999999999999998</v>
      </c>
      <c r="I137" t="s">
        <v>18</v>
      </c>
      <c r="J137">
        <v>10</v>
      </c>
      <c r="K137">
        <v>2.7</v>
      </c>
      <c r="L137">
        <v>1276.55</v>
      </c>
    </row>
    <row r="138" spans="1:12" x14ac:dyDescent="0.35">
      <c r="A138">
        <v>10137</v>
      </c>
      <c r="B138" t="s">
        <v>99</v>
      </c>
      <c r="C138">
        <v>1343</v>
      </c>
      <c r="D138" t="s">
        <v>29</v>
      </c>
      <c r="E138" t="s">
        <v>21</v>
      </c>
      <c r="F138">
        <v>1</v>
      </c>
      <c r="G138">
        <v>353.84</v>
      </c>
      <c r="H138">
        <v>0.25</v>
      </c>
      <c r="I138" t="s">
        <v>18</v>
      </c>
      <c r="J138">
        <v>3</v>
      </c>
      <c r="K138">
        <v>3.7</v>
      </c>
      <c r="L138">
        <v>265.38</v>
      </c>
    </row>
    <row r="139" spans="1:12" x14ac:dyDescent="0.35">
      <c r="A139">
        <v>10138</v>
      </c>
      <c r="B139" t="s">
        <v>100</v>
      </c>
      <c r="C139">
        <v>1128</v>
      </c>
      <c r="D139" t="s">
        <v>19</v>
      </c>
      <c r="E139" t="s">
        <v>21</v>
      </c>
      <c r="F139">
        <v>4</v>
      </c>
      <c r="G139">
        <v>39.729999999999997</v>
      </c>
      <c r="H139">
        <v>0.05</v>
      </c>
      <c r="I139" t="s">
        <v>16</v>
      </c>
      <c r="J139">
        <v>1</v>
      </c>
      <c r="K139">
        <v>2.6</v>
      </c>
      <c r="L139">
        <v>150.97</v>
      </c>
    </row>
    <row r="140" spans="1:12" x14ac:dyDescent="0.35">
      <c r="A140">
        <v>10139</v>
      </c>
      <c r="B140" t="s">
        <v>101</v>
      </c>
      <c r="C140">
        <v>1647</v>
      </c>
      <c r="D140" t="s">
        <v>19</v>
      </c>
      <c r="E140" t="s">
        <v>17</v>
      </c>
      <c r="F140">
        <v>4</v>
      </c>
      <c r="G140">
        <v>358.25</v>
      </c>
      <c r="H140">
        <v>0.23</v>
      </c>
      <c r="I140" t="s">
        <v>16</v>
      </c>
      <c r="J140">
        <v>6</v>
      </c>
      <c r="K140">
        <v>3.2</v>
      </c>
      <c r="L140">
        <v>1103.4100000000001</v>
      </c>
    </row>
    <row r="141" spans="1:12" x14ac:dyDescent="0.35">
      <c r="A141">
        <v>10140</v>
      </c>
      <c r="B141" t="s">
        <v>102</v>
      </c>
      <c r="C141">
        <v>1471</v>
      </c>
      <c r="D141" t="s">
        <v>19</v>
      </c>
      <c r="E141" t="s">
        <v>17</v>
      </c>
      <c r="F141">
        <v>5</v>
      </c>
      <c r="G141">
        <v>175.63</v>
      </c>
      <c r="H141">
        <v>0.31</v>
      </c>
      <c r="I141" t="s">
        <v>14</v>
      </c>
      <c r="J141">
        <v>8</v>
      </c>
      <c r="K141">
        <v>3.4</v>
      </c>
      <c r="L141">
        <v>605.91999999999996</v>
      </c>
    </row>
    <row r="142" spans="1:12" x14ac:dyDescent="0.35">
      <c r="A142">
        <v>10141</v>
      </c>
      <c r="B142" t="s">
        <v>103</v>
      </c>
      <c r="C142">
        <v>1062</v>
      </c>
      <c r="D142" t="s">
        <v>19</v>
      </c>
      <c r="E142" t="s">
        <v>13</v>
      </c>
      <c r="F142">
        <v>2</v>
      </c>
      <c r="G142">
        <v>34</v>
      </c>
      <c r="H142">
        <v>0.15</v>
      </c>
      <c r="I142" t="s">
        <v>18</v>
      </c>
      <c r="J142">
        <v>3</v>
      </c>
      <c r="K142">
        <v>2.1</v>
      </c>
      <c r="L142">
        <v>57.8</v>
      </c>
    </row>
    <row r="143" spans="1:12" x14ac:dyDescent="0.35">
      <c r="A143">
        <v>10142</v>
      </c>
      <c r="B143" t="s">
        <v>104</v>
      </c>
      <c r="C143">
        <v>1138</v>
      </c>
      <c r="D143" t="s">
        <v>29</v>
      </c>
      <c r="E143" t="s">
        <v>13</v>
      </c>
      <c r="F143">
        <v>7</v>
      </c>
      <c r="G143">
        <v>495.2</v>
      </c>
      <c r="H143">
        <v>0.14000000000000001</v>
      </c>
      <c r="I143" t="s">
        <v>16</v>
      </c>
      <c r="J143">
        <v>4</v>
      </c>
      <c r="K143">
        <v>2.4</v>
      </c>
      <c r="L143">
        <v>2981.1</v>
      </c>
    </row>
    <row r="144" spans="1:12" x14ac:dyDescent="0.35">
      <c r="A144">
        <v>10143</v>
      </c>
      <c r="B144" t="s">
        <v>105</v>
      </c>
      <c r="C144">
        <v>1498</v>
      </c>
      <c r="D144" t="s">
        <v>15</v>
      </c>
      <c r="E144" t="s">
        <v>21</v>
      </c>
      <c r="F144">
        <v>7</v>
      </c>
      <c r="G144">
        <v>176.3</v>
      </c>
      <c r="H144">
        <v>0.16</v>
      </c>
      <c r="I144" t="s">
        <v>16</v>
      </c>
      <c r="J144">
        <v>5</v>
      </c>
      <c r="K144">
        <v>1.1000000000000001</v>
      </c>
      <c r="L144">
        <v>1036.6400000000001</v>
      </c>
    </row>
    <row r="145" spans="1:12" x14ac:dyDescent="0.35">
      <c r="A145">
        <v>10144</v>
      </c>
      <c r="B145" t="s">
        <v>106</v>
      </c>
      <c r="C145">
        <v>1592</v>
      </c>
      <c r="D145" t="s">
        <v>19</v>
      </c>
      <c r="E145" t="s">
        <v>21</v>
      </c>
      <c r="F145">
        <v>5</v>
      </c>
      <c r="G145">
        <v>480.98</v>
      </c>
      <c r="H145">
        <v>0.03</v>
      </c>
      <c r="I145" t="s">
        <v>18</v>
      </c>
      <c r="J145">
        <v>7</v>
      </c>
      <c r="K145">
        <v>4.4000000000000004</v>
      </c>
      <c r="L145">
        <v>2332.75</v>
      </c>
    </row>
    <row r="146" spans="1:12" x14ac:dyDescent="0.35">
      <c r="A146">
        <v>10145</v>
      </c>
      <c r="B146" t="s">
        <v>107</v>
      </c>
      <c r="C146">
        <v>1391</v>
      </c>
      <c r="D146" t="s">
        <v>15</v>
      </c>
      <c r="E146" t="s">
        <v>20</v>
      </c>
      <c r="F146">
        <v>6</v>
      </c>
      <c r="G146">
        <v>183.61</v>
      </c>
      <c r="H146">
        <v>0.31</v>
      </c>
      <c r="I146" t="s">
        <v>18</v>
      </c>
      <c r="J146">
        <v>11</v>
      </c>
      <c r="K146">
        <v>4</v>
      </c>
      <c r="L146">
        <v>760.15</v>
      </c>
    </row>
    <row r="147" spans="1:12" x14ac:dyDescent="0.35">
      <c r="A147">
        <v>10146</v>
      </c>
      <c r="B147" t="s">
        <v>108</v>
      </c>
      <c r="C147">
        <v>1674</v>
      </c>
      <c r="D147" t="s">
        <v>19</v>
      </c>
      <c r="E147" t="s">
        <v>21</v>
      </c>
      <c r="F147">
        <v>4</v>
      </c>
      <c r="G147">
        <v>128.68</v>
      </c>
      <c r="H147">
        <v>0.3</v>
      </c>
      <c r="I147" t="s">
        <v>16</v>
      </c>
      <c r="J147">
        <v>6</v>
      </c>
      <c r="K147">
        <v>1.7</v>
      </c>
      <c r="L147">
        <v>360.3</v>
      </c>
    </row>
    <row r="148" spans="1:12" x14ac:dyDescent="0.35">
      <c r="A148">
        <v>10147</v>
      </c>
      <c r="B148" t="s">
        <v>109</v>
      </c>
      <c r="C148">
        <v>1418</v>
      </c>
      <c r="D148" t="s">
        <v>19</v>
      </c>
      <c r="E148" t="s">
        <v>13</v>
      </c>
      <c r="F148">
        <v>4</v>
      </c>
      <c r="G148">
        <v>584.75</v>
      </c>
      <c r="H148">
        <v>0.35</v>
      </c>
      <c r="I148" t="s">
        <v>18</v>
      </c>
      <c r="J148">
        <v>2</v>
      </c>
      <c r="K148">
        <v>2.4</v>
      </c>
      <c r="L148">
        <v>1520.35</v>
      </c>
    </row>
    <row r="149" spans="1:12" x14ac:dyDescent="0.35">
      <c r="A149">
        <v>10148</v>
      </c>
      <c r="B149" t="s">
        <v>110</v>
      </c>
      <c r="C149">
        <v>1288</v>
      </c>
      <c r="D149" t="s">
        <v>15</v>
      </c>
      <c r="E149" t="s">
        <v>17</v>
      </c>
      <c r="F149">
        <v>5</v>
      </c>
      <c r="G149">
        <v>226.56</v>
      </c>
      <c r="H149">
        <v>0.2</v>
      </c>
      <c r="I149" t="s">
        <v>16</v>
      </c>
      <c r="J149">
        <v>7</v>
      </c>
      <c r="K149">
        <v>2.7</v>
      </c>
      <c r="L149">
        <v>906.24</v>
      </c>
    </row>
    <row r="150" spans="1:12" x14ac:dyDescent="0.35">
      <c r="A150">
        <v>10149</v>
      </c>
      <c r="B150" t="s">
        <v>111</v>
      </c>
      <c r="C150">
        <v>1378</v>
      </c>
      <c r="D150" t="s">
        <v>12</v>
      </c>
      <c r="E150" t="s">
        <v>20</v>
      </c>
      <c r="F150">
        <v>4</v>
      </c>
      <c r="G150">
        <v>366.81</v>
      </c>
      <c r="H150">
        <v>0.26</v>
      </c>
      <c r="I150" t="s">
        <v>16</v>
      </c>
      <c r="J150">
        <v>8</v>
      </c>
      <c r="K150">
        <v>2.2999999999999998</v>
      </c>
      <c r="L150">
        <v>1085.76</v>
      </c>
    </row>
    <row r="151" spans="1:12" x14ac:dyDescent="0.35">
      <c r="A151">
        <v>10150</v>
      </c>
      <c r="B151" t="s">
        <v>112</v>
      </c>
      <c r="C151">
        <v>1772</v>
      </c>
      <c r="D151" t="s">
        <v>29</v>
      </c>
      <c r="E151" t="s">
        <v>21</v>
      </c>
      <c r="F151">
        <v>6</v>
      </c>
      <c r="G151">
        <v>371.84</v>
      </c>
      <c r="H151">
        <v>7.0000000000000007E-2</v>
      </c>
      <c r="I151" t="s">
        <v>18</v>
      </c>
      <c r="J151">
        <v>1</v>
      </c>
      <c r="K151">
        <v>4.2</v>
      </c>
      <c r="L151">
        <v>2074.87</v>
      </c>
    </row>
    <row r="152" spans="1:12" x14ac:dyDescent="0.35">
      <c r="A152">
        <v>10151</v>
      </c>
      <c r="B152" t="s">
        <v>113</v>
      </c>
      <c r="C152">
        <v>1489</v>
      </c>
      <c r="D152" t="s">
        <v>19</v>
      </c>
      <c r="E152" t="s">
        <v>21</v>
      </c>
      <c r="F152">
        <v>3</v>
      </c>
      <c r="G152">
        <v>342.88</v>
      </c>
      <c r="H152">
        <v>0.23</v>
      </c>
      <c r="I152" t="s">
        <v>16</v>
      </c>
      <c r="J152">
        <v>6</v>
      </c>
      <c r="K152">
        <v>3.9</v>
      </c>
      <c r="L152">
        <v>792.05</v>
      </c>
    </row>
    <row r="153" spans="1:12" x14ac:dyDescent="0.35">
      <c r="A153">
        <v>10152</v>
      </c>
      <c r="B153" s="1">
        <v>44567</v>
      </c>
      <c r="C153">
        <v>1230</v>
      </c>
      <c r="D153" t="s">
        <v>12</v>
      </c>
      <c r="E153" t="s">
        <v>13</v>
      </c>
      <c r="F153">
        <v>1</v>
      </c>
      <c r="G153">
        <v>550.1</v>
      </c>
      <c r="H153">
        <v>0.23</v>
      </c>
      <c r="I153" t="s">
        <v>14</v>
      </c>
      <c r="J153">
        <v>11</v>
      </c>
      <c r="K153">
        <v>4.0999999999999996</v>
      </c>
      <c r="L153">
        <v>423.58</v>
      </c>
    </row>
    <row r="154" spans="1:12" x14ac:dyDescent="0.35">
      <c r="A154">
        <v>10153</v>
      </c>
      <c r="B154" s="1">
        <v>44598</v>
      </c>
      <c r="C154">
        <v>1040</v>
      </c>
      <c r="D154" t="s">
        <v>29</v>
      </c>
      <c r="E154" t="s">
        <v>20</v>
      </c>
      <c r="F154">
        <v>1</v>
      </c>
      <c r="G154">
        <v>409.55</v>
      </c>
      <c r="H154">
        <v>0.32</v>
      </c>
      <c r="I154" t="s">
        <v>16</v>
      </c>
      <c r="J154">
        <v>9</v>
      </c>
      <c r="K154">
        <v>4.5999999999999996</v>
      </c>
      <c r="L154">
        <v>278.49</v>
      </c>
    </row>
    <row r="155" spans="1:12" x14ac:dyDescent="0.35">
      <c r="A155">
        <v>10154</v>
      </c>
      <c r="B155" s="1">
        <v>44626</v>
      </c>
      <c r="C155">
        <v>1027</v>
      </c>
      <c r="D155" t="s">
        <v>29</v>
      </c>
      <c r="E155" t="s">
        <v>21</v>
      </c>
      <c r="F155">
        <v>1</v>
      </c>
      <c r="G155">
        <v>251.18</v>
      </c>
      <c r="H155">
        <v>0.28999999999999998</v>
      </c>
      <c r="I155" t="s">
        <v>18</v>
      </c>
      <c r="J155">
        <v>7</v>
      </c>
      <c r="K155">
        <v>3.4</v>
      </c>
      <c r="L155">
        <v>178.34</v>
      </c>
    </row>
    <row r="156" spans="1:12" x14ac:dyDescent="0.35">
      <c r="A156">
        <v>10155</v>
      </c>
      <c r="B156" s="1">
        <v>44657</v>
      </c>
      <c r="C156">
        <v>1134</v>
      </c>
      <c r="D156" t="s">
        <v>15</v>
      </c>
      <c r="E156" t="s">
        <v>17</v>
      </c>
      <c r="F156">
        <v>3</v>
      </c>
      <c r="G156">
        <v>519.49</v>
      </c>
      <c r="H156">
        <v>0.33</v>
      </c>
      <c r="I156" t="s">
        <v>16</v>
      </c>
      <c r="J156">
        <v>5</v>
      </c>
      <c r="K156">
        <v>3.5</v>
      </c>
      <c r="L156">
        <v>1044.17</v>
      </c>
    </row>
    <row r="157" spans="1:12" x14ac:dyDescent="0.35">
      <c r="A157">
        <v>10156</v>
      </c>
      <c r="B157" s="1">
        <v>44687</v>
      </c>
      <c r="C157">
        <v>1200</v>
      </c>
      <c r="D157" t="s">
        <v>15</v>
      </c>
      <c r="E157" t="s">
        <v>13</v>
      </c>
      <c r="F157">
        <v>4</v>
      </c>
      <c r="G157">
        <v>120.92</v>
      </c>
      <c r="H157">
        <v>0.3</v>
      </c>
      <c r="I157" t="s">
        <v>16</v>
      </c>
      <c r="J157">
        <v>10</v>
      </c>
      <c r="K157">
        <v>3.9</v>
      </c>
      <c r="L157">
        <v>338.58</v>
      </c>
    </row>
    <row r="158" spans="1:12" x14ac:dyDescent="0.35">
      <c r="A158">
        <v>10157</v>
      </c>
      <c r="B158" s="1">
        <v>44718</v>
      </c>
      <c r="C158">
        <v>1839</v>
      </c>
      <c r="D158" t="s">
        <v>19</v>
      </c>
      <c r="E158" t="s">
        <v>20</v>
      </c>
      <c r="F158">
        <v>5</v>
      </c>
      <c r="G158">
        <v>333.38</v>
      </c>
      <c r="H158">
        <v>0.3</v>
      </c>
      <c r="I158" t="s">
        <v>18</v>
      </c>
      <c r="J158">
        <v>11</v>
      </c>
      <c r="K158">
        <v>3.7</v>
      </c>
      <c r="L158">
        <v>1166.83</v>
      </c>
    </row>
    <row r="159" spans="1:12" x14ac:dyDescent="0.35">
      <c r="A159">
        <v>10158</v>
      </c>
      <c r="B159" s="1">
        <v>44748</v>
      </c>
      <c r="C159">
        <v>1779</v>
      </c>
      <c r="D159" t="s">
        <v>19</v>
      </c>
      <c r="E159" t="s">
        <v>21</v>
      </c>
      <c r="F159">
        <v>7</v>
      </c>
      <c r="G159">
        <v>571.07000000000005</v>
      </c>
      <c r="H159">
        <v>0.02</v>
      </c>
      <c r="I159" t="s">
        <v>18</v>
      </c>
      <c r="J159">
        <v>10</v>
      </c>
      <c r="K159">
        <v>4.5</v>
      </c>
      <c r="L159">
        <v>3917.54</v>
      </c>
    </row>
    <row r="160" spans="1:12" x14ac:dyDescent="0.35">
      <c r="A160">
        <v>10159</v>
      </c>
      <c r="B160" s="1">
        <v>44779</v>
      </c>
      <c r="C160">
        <v>1929</v>
      </c>
      <c r="D160" t="s">
        <v>19</v>
      </c>
      <c r="E160" t="s">
        <v>21</v>
      </c>
      <c r="F160">
        <v>2</v>
      </c>
      <c r="G160">
        <v>380.86</v>
      </c>
      <c r="H160">
        <v>0.3</v>
      </c>
      <c r="I160" t="s">
        <v>18</v>
      </c>
      <c r="J160">
        <v>9</v>
      </c>
      <c r="K160">
        <v>4.0999999999999996</v>
      </c>
      <c r="L160">
        <v>533.20000000000005</v>
      </c>
    </row>
    <row r="161" spans="1:12" x14ac:dyDescent="0.35">
      <c r="A161">
        <v>10160</v>
      </c>
      <c r="B161" s="1">
        <v>44810</v>
      </c>
      <c r="C161">
        <v>1032</v>
      </c>
      <c r="D161" t="s">
        <v>19</v>
      </c>
      <c r="E161" t="s">
        <v>20</v>
      </c>
      <c r="F161">
        <v>4</v>
      </c>
      <c r="G161">
        <v>492.93</v>
      </c>
      <c r="H161">
        <v>0.21</v>
      </c>
      <c r="I161" t="s">
        <v>18</v>
      </c>
      <c r="J161">
        <v>2</v>
      </c>
      <c r="K161">
        <v>1.5</v>
      </c>
      <c r="L161">
        <v>1557.66</v>
      </c>
    </row>
    <row r="162" spans="1:12" x14ac:dyDescent="0.35">
      <c r="A162">
        <v>10161</v>
      </c>
      <c r="B162" s="1">
        <v>44840</v>
      </c>
      <c r="C162">
        <v>1047</v>
      </c>
      <c r="D162" t="s">
        <v>15</v>
      </c>
      <c r="E162" t="s">
        <v>13</v>
      </c>
      <c r="F162">
        <v>3</v>
      </c>
      <c r="G162">
        <v>397.33</v>
      </c>
      <c r="H162">
        <v>0.13</v>
      </c>
      <c r="I162" t="s">
        <v>18</v>
      </c>
      <c r="J162">
        <v>7</v>
      </c>
      <c r="K162">
        <v>4.7</v>
      </c>
      <c r="L162">
        <v>1037.03</v>
      </c>
    </row>
    <row r="163" spans="1:12" x14ac:dyDescent="0.35">
      <c r="A163">
        <v>10162</v>
      </c>
      <c r="B163" s="1">
        <v>44871</v>
      </c>
      <c r="C163">
        <v>1502</v>
      </c>
      <c r="D163" t="s">
        <v>29</v>
      </c>
      <c r="E163" t="s">
        <v>20</v>
      </c>
      <c r="F163">
        <v>6</v>
      </c>
      <c r="G163">
        <v>506.03</v>
      </c>
      <c r="H163">
        <v>0.02</v>
      </c>
      <c r="I163" t="s">
        <v>18</v>
      </c>
      <c r="J163">
        <v>9</v>
      </c>
      <c r="K163">
        <v>3.7</v>
      </c>
      <c r="L163">
        <v>2975.46</v>
      </c>
    </row>
    <row r="164" spans="1:12" x14ac:dyDescent="0.35">
      <c r="A164">
        <v>10163</v>
      </c>
      <c r="B164" s="1">
        <v>44901</v>
      </c>
      <c r="C164">
        <v>1406</v>
      </c>
      <c r="D164" t="s">
        <v>15</v>
      </c>
      <c r="E164" t="s">
        <v>20</v>
      </c>
      <c r="F164">
        <v>3</v>
      </c>
      <c r="G164">
        <v>567.53</v>
      </c>
      <c r="H164">
        <v>0.24</v>
      </c>
      <c r="I164" t="s">
        <v>18</v>
      </c>
      <c r="J164">
        <v>2</v>
      </c>
      <c r="K164">
        <v>1.5</v>
      </c>
      <c r="L164">
        <v>1293.97</v>
      </c>
    </row>
    <row r="165" spans="1:12" x14ac:dyDescent="0.35">
      <c r="A165">
        <v>10164</v>
      </c>
      <c r="B165" t="s">
        <v>114</v>
      </c>
      <c r="C165">
        <v>1573</v>
      </c>
      <c r="D165" t="s">
        <v>19</v>
      </c>
      <c r="E165" t="s">
        <v>13</v>
      </c>
      <c r="F165">
        <v>7</v>
      </c>
      <c r="G165">
        <v>174.66</v>
      </c>
      <c r="H165">
        <v>0.11</v>
      </c>
      <c r="I165" t="s">
        <v>18</v>
      </c>
      <c r="J165">
        <v>11</v>
      </c>
      <c r="K165">
        <v>4.0999999999999996</v>
      </c>
      <c r="L165">
        <v>1088.1300000000001</v>
      </c>
    </row>
    <row r="166" spans="1:12" x14ac:dyDescent="0.35">
      <c r="A166">
        <v>10165</v>
      </c>
      <c r="B166" t="s">
        <v>115</v>
      </c>
      <c r="C166">
        <v>1727</v>
      </c>
      <c r="D166" t="s">
        <v>12</v>
      </c>
      <c r="E166" t="s">
        <v>21</v>
      </c>
      <c r="F166">
        <v>1</v>
      </c>
      <c r="G166">
        <v>114.25</v>
      </c>
      <c r="H166">
        <v>0.16</v>
      </c>
      <c r="I166" t="s">
        <v>18</v>
      </c>
      <c r="J166">
        <v>10</v>
      </c>
      <c r="K166">
        <v>2.4</v>
      </c>
      <c r="L166">
        <v>95.97</v>
      </c>
    </row>
    <row r="167" spans="1:12" x14ac:dyDescent="0.35">
      <c r="A167">
        <v>10166</v>
      </c>
      <c r="B167" t="s">
        <v>116</v>
      </c>
      <c r="C167">
        <v>1804</v>
      </c>
      <c r="D167" t="s">
        <v>12</v>
      </c>
      <c r="E167" t="s">
        <v>17</v>
      </c>
      <c r="F167">
        <v>4</v>
      </c>
      <c r="G167">
        <v>298.13</v>
      </c>
      <c r="H167">
        <v>0.24</v>
      </c>
      <c r="I167" t="s">
        <v>14</v>
      </c>
      <c r="J167">
        <v>6</v>
      </c>
      <c r="K167">
        <v>4.2</v>
      </c>
      <c r="L167">
        <v>906.32</v>
      </c>
    </row>
    <row r="168" spans="1:12" x14ac:dyDescent="0.35">
      <c r="A168">
        <v>10167</v>
      </c>
      <c r="B168" t="s">
        <v>117</v>
      </c>
      <c r="C168">
        <v>1098</v>
      </c>
      <c r="D168" t="s">
        <v>29</v>
      </c>
      <c r="E168" t="s">
        <v>13</v>
      </c>
      <c r="F168">
        <v>7</v>
      </c>
      <c r="G168">
        <v>425.59</v>
      </c>
      <c r="H168">
        <v>0.32</v>
      </c>
      <c r="I168" t="s">
        <v>16</v>
      </c>
      <c r="J168">
        <v>9</v>
      </c>
      <c r="K168">
        <v>4.8</v>
      </c>
      <c r="L168">
        <v>2025.81</v>
      </c>
    </row>
    <row r="169" spans="1:12" x14ac:dyDescent="0.35">
      <c r="A169">
        <v>10168</v>
      </c>
      <c r="B169" t="s">
        <v>118</v>
      </c>
      <c r="C169">
        <v>1683</v>
      </c>
      <c r="D169" t="s">
        <v>12</v>
      </c>
      <c r="E169" t="s">
        <v>17</v>
      </c>
      <c r="F169">
        <v>1</v>
      </c>
      <c r="G169">
        <v>147.91</v>
      </c>
      <c r="H169">
        <v>0.28999999999999998</v>
      </c>
      <c r="I169" t="s">
        <v>18</v>
      </c>
      <c r="J169">
        <v>3</v>
      </c>
      <c r="K169">
        <v>2</v>
      </c>
      <c r="L169">
        <v>105.02</v>
      </c>
    </row>
    <row r="170" spans="1:12" x14ac:dyDescent="0.35">
      <c r="A170">
        <v>10169</v>
      </c>
      <c r="B170" t="s">
        <v>119</v>
      </c>
      <c r="C170">
        <v>1871</v>
      </c>
      <c r="D170" t="s">
        <v>15</v>
      </c>
      <c r="E170" t="s">
        <v>21</v>
      </c>
      <c r="F170">
        <v>2</v>
      </c>
      <c r="G170">
        <v>17.399999999999999</v>
      </c>
      <c r="H170">
        <v>0.16</v>
      </c>
      <c r="I170" t="s">
        <v>16</v>
      </c>
      <c r="J170">
        <v>8</v>
      </c>
      <c r="K170">
        <v>4.4000000000000004</v>
      </c>
      <c r="L170">
        <v>29.23</v>
      </c>
    </row>
    <row r="171" spans="1:12" x14ac:dyDescent="0.35">
      <c r="A171">
        <v>10170</v>
      </c>
      <c r="B171" t="s">
        <v>120</v>
      </c>
      <c r="C171">
        <v>1725</v>
      </c>
      <c r="D171" t="s">
        <v>12</v>
      </c>
      <c r="E171" t="s">
        <v>20</v>
      </c>
      <c r="F171">
        <v>6</v>
      </c>
      <c r="G171">
        <v>215.62</v>
      </c>
      <c r="H171">
        <v>0.14000000000000001</v>
      </c>
      <c r="I171" t="s">
        <v>16</v>
      </c>
      <c r="J171">
        <v>5</v>
      </c>
      <c r="K171">
        <v>4.0999999999999996</v>
      </c>
      <c r="L171">
        <v>1112.5999999999999</v>
      </c>
    </row>
    <row r="172" spans="1:12" x14ac:dyDescent="0.35">
      <c r="A172">
        <v>10171</v>
      </c>
      <c r="B172" t="s">
        <v>121</v>
      </c>
      <c r="C172">
        <v>1986</v>
      </c>
      <c r="D172" t="s">
        <v>19</v>
      </c>
      <c r="E172" t="s">
        <v>17</v>
      </c>
      <c r="F172">
        <v>1</v>
      </c>
      <c r="G172">
        <v>581.78</v>
      </c>
      <c r="H172">
        <v>0.08</v>
      </c>
      <c r="I172" t="s">
        <v>16</v>
      </c>
      <c r="J172">
        <v>7</v>
      </c>
      <c r="K172">
        <v>3.7</v>
      </c>
      <c r="L172">
        <v>535.24</v>
      </c>
    </row>
    <row r="173" spans="1:12" x14ac:dyDescent="0.35">
      <c r="A173">
        <v>10172</v>
      </c>
      <c r="B173" t="s">
        <v>122</v>
      </c>
      <c r="C173">
        <v>1546</v>
      </c>
      <c r="D173" t="s">
        <v>15</v>
      </c>
      <c r="E173" t="s">
        <v>21</v>
      </c>
      <c r="F173">
        <v>2</v>
      </c>
      <c r="G173">
        <v>421.56</v>
      </c>
      <c r="H173">
        <v>0.13</v>
      </c>
      <c r="I173" t="s">
        <v>14</v>
      </c>
      <c r="J173">
        <v>3</v>
      </c>
      <c r="K173">
        <v>2.5</v>
      </c>
      <c r="L173">
        <v>733.51</v>
      </c>
    </row>
    <row r="174" spans="1:12" x14ac:dyDescent="0.35">
      <c r="A174">
        <v>10173</v>
      </c>
      <c r="B174" t="s">
        <v>123</v>
      </c>
      <c r="C174">
        <v>1960</v>
      </c>
      <c r="D174" t="s">
        <v>19</v>
      </c>
      <c r="E174" t="s">
        <v>21</v>
      </c>
      <c r="F174">
        <v>3</v>
      </c>
      <c r="G174">
        <v>249.78</v>
      </c>
      <c r="H174">
        <v>0.04</v>
      </c>
      <c r="I174" t="s">
        <v>18</v>
      </c>
      <c r="J174">
        <v>8</v>
      </c>
      <c r="K174">
        <v>1.4</v>
      </c>
      <c r="L174">
        <v>719.37</v>
      </c>
    </row>
    <row r="175" spans="1:12" x14ac:dyDescent="0.35">
      <c r="A175">
        <v>10174</v>
      </c>
      <c r="B175" t="s">
        <v>124</v>
      </c>
      <c r="C175">
        <v>1738</v>
      </c>
      <c r="D175" t="s">
        <v>19</v>
      </c>
      <c r="E175" t="s">
        <v>20</v>
      </c>
      <c r="F175">
        <v>1</v>
      </c>
      <c r="G175">
        <v>127.66</v>
      </c>
      <c r="H175">
        <v>0.34</v>
      </c>
      <c r="I175" t="s">
        <v>18</v>
      </c>
      <c r="J175">
        <v>2</v>
      </c>
      <c r="K175">
        <v>2.9</v>
      </c>
      <c r="L175">
        <v>84.26</v>
      </c>
    </row>
    <row r="176" spans="1:12" x14ac:dyDescent="0.35">
      <c r="A176">
        <v>10175</v>
      </c>
      <c r="B176" t="s">
        <v>125</v>
      </c>
      <c r="C176">
        <v>1612</v>
      </c>
      <c r="D176" t="s">
        <v>19</v>
      </c>
      <c r="E176" t="s">
        <v>20</v>
      </c>
      <c r="F176">
        <v>1</v>
      </c>
      <c r="G176">
        <v>223.31</v>
      </c>
      <c r="H176">
        <v>0.2</v>
      </c>
      <c r="I176" t="s">
        <v>16</v>
      </c>
      <c r="J176">
        <v>8</v>
      </c>
      <c r="K176">
        <v>1.4</v>
      </c>
      <c r="L176">
        <v>178.65</v>
      </c>
    </row>
    <row r="177" spans="1:12" x14ac:dyDescent="0.35">
      <c r="A177">
        <v>10176</v>
      </c>
      <c r="B177" t="s">
        <v>126</v>
      </c>
      <c r="C177">
        <v>1942</v>
      </c>
      <c r="D177" t="s">
        <v>15</v>
      </c>
      <c r="E177" t="s">
        <v>21</v>
      </c>
      <c r="F177">
        <v>5</v>
      </c>
      <c r="G177">
        <v>114.36</v>
      </c>
      <c r="H177">
        <v>0.04</v>
      </c>
      <c r="I177" t="s">
        <v>18</v>
      </c>
      <c r="J177">
        <v>2</v>
      </c>
      <c r="K177">
        <v>3</v>
      </c>
      <c r="L177">
        <v>548.92999999999995</v>
      </c>
    </row>
    <row r="178" spans="1:12" x14ac:dyDescent="0.35">
      <c r="A178">
        <v>10177</v>
      </c>
      <c r="B178" t="s">
        <v>127</v>
      </c>
      <c r="C178">
        <v>1461</v>
      </c>
      <c r="D178" t="s">
        <v>29</v>
      </c>
      <c r="E178" t="s">
        <v>21</v>
      </c>
      <c r="F178">
        <v>6</v>
      </c>
      <c r="G178">
        <v>77.19</v>
      </c>
      <c r="H178">
        <v>0.12</v>
      </c>
      <c r="I178" t="s">
        <v>14</v>
      </c>
      <c r="J178">
        <v>7</v>
      </c>
      <c r="K178">
        <v>4.3</v>
      </c>
      <c r="L178">
        <v>407.56</v>
      </c>
    </row>
    <row r="179" spans="1:12" x14ac:dyDescent="0.35">
      <c r="A179">
        <v>10178</v>
      </c>
      <c r="B179" t="s">
        <v>128</v>
      </c>
      <c r="C179">
        <v>1642</v>
      </c>
      <c r="D179" t="s">
        <v>15</v>
      </c>
      <c r="E179" t="s">
        <v>17</v>
      </c>
      <c r="F179">
        <v>6</v>
      </c>
      <c r="G179">
        <v>545.44000000000005</v>
      </c>
      <c r="H179">
        <v>0.19</v>
      </c>
      <c r="I179" t="s">
        <v>16</v>
      </c>
      <c r="J179">
        <v>2</v>
      </c>
      <c r="K179">
        <v>5</v>
      </c>
      <c r="L179">
        <v>2650.84</v>
      </c>
    </row>
    <row r="180" spans="1:12" x14ac:dyDescent="0.35">
      <c r="A180">
        <v>10179</v>
      </c>
      <c r="B180" t="s">
        <v>129</v>
      </c>
      <c r="C180">
        <v>1768</v>
      </c>
      <c r="D180" t="s">
        <v>19</v>
      </c>
      <c r="E180" t="s">
        <v>21</v>
      </c>
      <c r="F180">
        <v>7</v>
      </c>
      <c r="G180">
        <v>598.63</v>
      </c>
      <c r="H180">
        <v>0.19</v>
      </c>
      <c r="I180" t="s">
        <v>16</v>
      </c>
      <c r="J180">
        <v>7</v>
      </c>
      <c r="K180">
        <v>1.8</v>
      </c>
      <c r="L180">
        <v>3394.23</v>
      </c>
    </row>
    <row r="181" spans="1:12" x14ac:dyDescent="0.35">
      <c r="A181">
        <v>10180</v>
      </c>
      <c r="B181" t="s">
        <v>130</v>
      </c>
      <c r="C181">
        <v>1004</v>
      </c>
      <c r="D181" t="s">
        <v>29</v>
      </c>
      <c r="E181" t="s">
        <v>21</v>
      </c>
      <c r="F181">
        <v>3</v>
      </c>
      <c r="G181">
        <v>111.01</v>
      </c>
      <c r="H181">
        <v>0.01</v>
      </c>
      <c r="I181" t="s">
        <v>16</v>
      </c>
      <c r="J181">
        <v>1</v>
      </c>
      <c r="K181">
        <v>1.8</v>
      </c>
      <c r="L181">
        <v>329.7</v>
      </c>
    </row>
    <row r="182" spans="1:12" x14ac:dyDescent="0.35">
      <c r="A182">
        <v>10181</v>
      </c>
      <c r="B182" t="s">
        <v>131</v>
      </c>
      <c r="C182">
        <v>1217</v>
      </c>
      <c r="D182" t="s">
        <v>15</v>
      </c>
      <c r="E182" t="s">
        <v>17</v>
      </c>
      <c r="F182">
        <v>5</v>
      </c>
      <c r="G182">
        <v>46.9</v>
      </c>
      <c r="H182">
        <v>0.33</v>
      </c>
      <c r="I182" t="s">
        <v>18</v>
      </c>
      <c r="J182">
        <v>6</v>
      </c>
      <c r="K182">
        <v>4.2</v>
      </c>
      <c r="L182">
        <v>157.11000000000001</v>
      </c>
    </row>
    <row r="183" spans="1:12" x14ac:dyDescent="0.35">
      <c r="A183">
        <v>10182</v>
      </c>
      <c r="B183" s="1">
        <v>44568</v>
      </c>
      <c r="C183">
        <v>1502</v>
      </c>
      <c r="D183" t="s">
        <v>15</v>
      </c>
      <c r="E183" t="s">
        <v>13</v>
      </c>
      <c r="F183">
        <v>7</v>
      </c>
      <c r="G183">
        <v>207.89</v>
      </c>
      <c r="H183">
        <v>0.1</v>
      </c>
      <c r="I183" t="s">
        <v>18</v>
      </c>
      <c r="J183">
        <v>10</v>
      </c>
      <c r="K183">
        <v>2.9</v>
      </c>
      <c r="L183">
        <v>1309.71</v>
      </c>
    </row>
    <row r="184" spans="1:12" x14ac:dyDescent="0.35">
      <c r="A184">
        <v>10183</v>
      </c>
      <c r="B184" s="1">
        <v>44599</v>
      </c>
      <c r="C184">
        <v>1766</v>
      </c>
      <c r="D184" t="s">
        <v>29</v>
      </c>
      <c r="E184" t="s">
        <v>17</v>
      </c>
      <c r="F184">
        <v>2</v>
      </c>
      <c r="G184">
        <v>285.07</v>
      </c>
      <c r="H184">
        <v>0.01</v>
      </c>
      <c r="I184" t="s">
        <v>18</v>
      </c>
      <c r="J184">
        <v>7</v>
      </c>
      <c r="K184">
        <v>4.7</v>
      </c>
      <c r="L184">
        <v>564.44000000000005</v>
      </c>
    </row>
    <row r="185" spans="1:12" x14ac:dyDescent="0.35">
      <c r="A185">
        <v>10184</v>
      </c>
      <c r="B185" s="1">
        <v>44627</v>
      </c>
      <c r="C185">
        <v>1397</v>
      </c>
      <c r="D185" t="s">
        <v>19</v>
      </c>
      <c r="E185" t="s">
        <v>17</v>
      </c>
      <c r="F185">
        <v>7</v>
      </c>
      <c r="G185">
        <v>134.82</v>
      </c>
      <c r="H185">
        <v>0.03</v>
      </c>
      <c r="I185" t="s">
        <v>18</v>
      </c>
      <c r="J185">
        <v>4</v>
      </c>
      <c r="K185">
        <v>4.0999999999999996</v>
      </c>
      <c r="L185">
        <v>915.43</v>
      </c>
    </row>
    <row r="186" spans="1:12" x14ac:dyDescent="0.35">
      <c r="A186">
        <v>10185</v>
      </c>
      <c r="B186" s="1">
        <v>44658</v>
      </c>
      <c r="C186">
        <v>1870</v>
      </c>
      <c r="D186" t="s">
        <v>19</v>
      </c>
      <c r="E186" t="s">
        <v>20</v>
      </c>
      <c r="F186">
        <v>2</v>
      </c>
      <c r="G186">
        <v>191.33</v>
      </c>
      <c r="H186">
        <v>0.2</v>
      </c>
      <c r="I186" t="s">
        <v>16</v>
      </c>
      <c r="J186">
        <v>11</v>
      </c>
      <c r="K186">
        <v>3.9</v>
      </c>
      <c r="L186">
        <v>306.13</v>
      </c>
    </row>
    <row r="187" spans="1:12" x14ac:dyDescent="0.35">
      <c r="A187">
        <v>10186</v>
      </c>
      <c r="B187" s="1">
        <v>44688</v>
      </c>
      <c r="C187">
        <v>1794</v>
      </c>
      <c r="D187" t="s">
        <v>12</v>
      </c>
      <c r="E187" t="s">
        <v>17</v>
      </c>
      <c r="F187">
        <v>3</v>
      </c>
      <c r="G187">
        <v>132.51</v>
      </c>
      <c r="H187">
        <v>0.05</v>
      </c>
      <c r="I187" t="s">
        <v>18</v>
      </c>
      <c r="J187">
        <v>11</v>
      </c>
      <c r="K187">
        <v>1.4</v>
      </c>
      <c r="L187">
        <v>377.65</v>
      </c>
    </row>
    <row r="188" spans="1:12" x14ac:dyDescent="0.35">
      <c r="A188">
        <v>10187</v>
      </c>
      <c r="B188" s="1">
        <v>44719</v>
      </c>
      <c r="C188">
        <v>1392</v>
      </c>
      <c r="D188" t="s">
        <v>19</v>
      </c>
      <c r="E188" t="s">
        <v>21</v>
      </c>
      <c r="F188">
        <v>6</v>
      </c>
      <c r="G188">
        <v>467.94</v>
      </c>
      <c r="H188">
        <v>0.01</v>
      </c>
      <c r="I188" t="s">
        <v>16</v>
      </c>
      <c r="J188">
        <v>1</v>
      </c>
      <c r="K188">
        <v>1.1000000000000001</v>
      </c>
      <c r="L188">
        <v>2779.56</v>
      </c>
    </row>
    <row r="189" spans="1:12" x14ac:dyDescent="0.35">
      <c r="A189">
        <v>10188</v>
      </c>
      <c r="B189" s="1">
        <v>44749</v>
      </c>
      <c r="C189">
        <v>1206</v>
      </c>
      <c r="D189" t="s">
        <v>15</v>
      </c>
      <c r="E189" t="s">
        <v>21</v>
      </c>
      <c r="F189">
        <v>2</v>
      </c>
      <c r="G189">
        <v>431.86</v>
      </c>
      <c r="H189">
        <v>0.13</v>
      </c>
      <c r="I189" t="s">
        <v>16</v>
      </c>
      <c r="J189">
        <v>6</v>
      </c>
      <c r="K189">
        <v>2.2999999999999998</v>
      </c>
      <c r="L189">
        <v>751.44</v>
      </c>
    </row>
    <row r="190" spans="1:12" x14ac:dyDescent="0.35">
      <c r="A190">
        <v>10189</v>
      </c>
      <c r="B190" s="1">
        <v>44780</v>
      </c>
      <c r="C190">
        <v>1014</v>
      </c>
      <c r="D190" t="s">
        <v>12</v>
      </c>
      <c r="E190" t="s">
        <v>21</v>
      </c>
      <c r="F190">
        <v>3</v>
      </c>
      <c r="G190">
        <v>386.45</v>
      </c>
      <c r="H190">
        <v>0.22</v>
      </c>
      <c r="I190" t="s">
        <v>18</v>
      </c>
      <c r="J190">
        <v>4</v>
      </c>
      <c r="K190">
        <v>1.9</v>
      </c>
      <c r="L190">
        <v>904.29</v>
      </c>
    </row>
    <row r="191" spans="1:12" x14ac:dyDescent="0.35">
      <c r="A191">
        <v>10190</v>
      </c>
      <c r="B191" s="1">
        <v>44811</v>
      </c>
      <c r="C191">
        <v>1857</v>
      </c>
      <c r="D191" t="s">
        <v>29</v>
      </c>
      <c r="E191" t="s">
        <v>13</v>
      </c>
      <c r="F191">
        <v>7</v>
      </c>
      <c r="G191">
        <v>241.52</v>
      </c>
      <c r="H191">
        <v>0.04</v>
      </c>
      <c r="I191" t="s">
        <v>14</v>
      </c>
      <c r="J191">
        <v>3</v>
      </c>
      <c r="K191">
        <v>3.8</v>
      </c>
      <c r="L191">
        <v>1623.01</v>
      </c>
    </row>
    <row r="192" spans="1:12" x14ac:dyDescent="0.35">
      <c r="A192">
        <v>10191</v>
      </c>
      <c r="B192" s="1">
        <v>44841</v>
      </c>
      <c r="C192">
        <v>1553</v>
      </c>
      <c r="D192" t="s">
        <v>19</v>
      </c>
      <c r="E192" t="s">
        <v>21</v>
      </c>
      <c r="F192">
        <v>2</v>
      </c>
      <c r="G192">
        <v>546.79</v>
      </c>
      <c r="H192">
        <v>0.11</v>
      </c>
      <c r="I192" t="s">
        <v>18</v>
      </c>
      <c r="J192">
        <v>4</v>
      </c>
      <c r="K192">
        <v>2.8</v>
      </c>
      <c r="L192">
        <v>973.29</v>
      </c>
    </row>
    <row r="193" spans="1:12" x14ac:dyDescent="0.35">
      <c r="A193">
        <v>10192</v>
      </c>
      <c r="B193" s="1">
        <v>44872</v>
      </c>
      <c r="C193">
        <v>1891</v>
      </c>
      <c r="D193" t="s">
        <v>19</v>
      </c>
      <c r="E193" t="s">
        <v>13</v>
      </c>
      <c r="F193">
        <v>4</v>
      </c>
      <c r="G193">
        <v>582.17999999999995</v>
      </c>
      <c r="H193">
        <v>0.15</v>
      </c>
      <c r="I193" t="s">
        <v>18</v>
      </c>
      <c r="J193">
        <v>6</v>
      </c>
      <c r="K193">
        <v>3.1</v>
      </c>
      <c r="L193">
        <v>1979.41</v>
      </c>
    </row>
    <row r="194" spans="1:12" x14ac:dyDescent="0.35">
      <c r="A194">
        <v>10193</v>
      </c>
      <c r="B194" s="1">
        <v>44902</v>
      </c>
      <c r="C194">
        <v>1460</v>
      </c>
      <c r="D194" t="s">
        <v>19</v>
      </c>
      <c r="E194" t="s">
        <v>21</v>
      </c>
      <c r="F194">
        <v>1</v>
      </c>
      <c r="G194">
        <v>116.58</v>
      </c>
      <c r="H194">
        <v>0.06</v>
      </c>
      <c r="I194" t="s">
        <v>16</v>
      </c>
      <c r="J194">
        <v>5</v>
      </c>
      <c r="K194">
        <v>4.3</v>
      </c>
      <c r="L194">
        <v>109.59</v>
      </c>
    </row>
    <row r="195" spans="1:12" x14ac:dyDescent="0.35">
      <c r="A195">
        <v>10194</v>
      </c>
      <c r="B195" t="s">
        <v>132</v>
      </c>
      <c r="C195">
        <v>1690</v>
      </c>
      <c r="D195" t="s">
        <v>15</v>
      </c>
      <c r="E195" t="s">
        <v>17</v>
      </c>
      <c r="F195">
        <v>7</v>
      </c>
      <c r="G195">
        <v>145.46</v>
      </c>
      <c r="H195">
        <v>0.18</v>
      </c>
      <c r="I195" t="s">
        <v>16</v>
      </c>
      <c r="J195">
        <v>2</v>
      </c>
      <c r="K195">
        <v>2.9</v>
      </c>
      <c r="L195">
        <v>834.94</v>
      </c>
    </row>
    <row r="196" spans="1:12" x14ac:dyDescent="0.35">
      <c r="A196">
        <v>10195</v>
      </c>
      <c r="B196" t="s">
        <v>133</v>
      </c>
      <c r="C196">
        <v>1574</v>
      </c>
      <c r="D196" t="s">
        <v>15</v>
      </c>
      <c r="E196" t="s">
        <v>20</v>
      </c>
      <c r="F196">
        <v>6</v>
      </c>
      <c r="G196">
        <v>322.49</v>
      </c>
      <c r="H196">
        <v>0.03</v>
      </c>
      <c r="I196" t="s">
        <v>16</v>
      </c>
      <c r="J196">
        <v>2</v>
      </c>
      <c r="K196">
        <v>3.2</v>
      </c>
      <c r="L196">
        <v>1876.89</v>
      </c>
    </row>
    <row r="197" spans="1:12" x14ac:dyDescent="0.35">
      <c r="A197">
        <v>10196</v>
      </c>
      <c r="B197" t="s">
        <v>134</v>
      </c>
      <c r="C197">
        <v>1863</v>
      </c>
      <c r="D197" t="s">
        <v>19</v>
      </c>
      <c r="E197" t="s">
        <v>21</v>
      </c>
      <c r="F197">
        <v>7</v>
      </c>
      <c r="G197">
        <v>68.38</v>
      </c>
      <c r="H197">
        <v>0.02</v>
      </c>
      <c r="I197" t="s">
        <v>14</v>
      </c>
      <c r="J197">
        <v>3</v>
      </c>
      <c r="K197">
        <v>4.4000000000000004</v>
      </c>
      <c r="L197">
        <v>469.09</v>
      </c>
    </row>
    <row r="198" spans="1:12" x14ac:dyDescent="0.35">
      <c r="A198">
        <v>10197</v>
      </c>
      <c r="B198" t="s">
        <v>135</v>
      </c>
      <c r="C198">
        <v>1742</v>
      </c>
      <c r="D198" t="s">
        <v>12</v>
      </c>
      <c r="E198" t="s">
        <v>13</v>
      </c>
      <c r="F198">
        <v>4</v>
      </c>
      <c r="G198">
        <v>270.32</v>
      </c>
      <c r="H198">
        <v>0.18</v>
      </c>
      <c r="I198" t="s">
        <v>14</v>
      </c>
      <c r="J198">
        <v>11</v>
      </c>
      <c r="K198">
        <v>2.7</v>
      </c>
      <c r="L198">
        <v>886.65</v>
      </c>
    </row>
    <row r="199" spans="1:12" x14ac:dyDescent="0.35">
      <c r="A199">
        <v>10198</v>
      </c>
      <c r="B199" t="s">
        <v>136</v>
      </c>
      <c r="C199">
        <v>1240</v>
      </c>
      <c r="D199" t="s">
        <v>15</v>
      </c>
      <c r="E199" t="s">
        <v>13</v>
      </c>
      <c r="F199">
        <v>3</v>
      </c>
      <c r="G199">
        <v>355.35</v>
      </c>
      <c r="H199">
        <v>0.09</v>
      </c>
      <c r="I199" t="s">
        <v>14</v>
      </c>
      <c r="J199">
        <v>6</v>
      </c>
      <c r="K199">
        <v>1.3</v>
      </c>
      <c r="L199">
        <v>970.11</v>
      </c>
    </row>
    <row r="200" spans="1:12" x14ac:dyDescent="0.35">
      <c r="A200">
        <v>10199</v>
      </c>
      <c r="B200" t="s">
        <v>137</v>
      </c>
      <c r="C200">
        <v>1563</v>
      </c>
      <c r="D200" t="s">
        <v>19</v>
      </c>
      <c r="E200" t="s">
        <v>20</v>
      </c>
      <c r="F200">
        <v>3</v>
      </c>
      <c r="G200">
        <v>320.41000000000003</v>
      </c>
      <c r="H200">
        <v>0.03</v>
      </c>
      <c r="I200" t="s">
        <v>16</v>
      </c>
      <c r="J200">
        <v>1</v>
      </c>
      <c r="K200">
        <v>3.1</v>
      </c>
      <c r="L200">
        <v>932.39</v>
      </c>
    </row>
    <row r="201" spans="1:12" x14ac:dyDescent="0.35">
      <c r="A201">
        <v>10200</v>
      </c>
      <c r="B201" t="s">
        <v>138</v>
      </c>
      <c r="C201">
        <v>1095</v>
      </c>
      <c r="D201" t="s">
        <v>15</v>
      </c>
      <c r="E201" t="s">
        <v>21</v>
      </c>
      <c r="F201">
        <v>7</v>
      </c>
      <c r="G201">
        <v>208.58</v>
      </c>
      <c r="H201">
        <v>0.15</v>
      </c>
      <c r="I201" t="s">
        <v>18</v>
      </c>
      <c r="J201">
        <v>11</v>
      </c>
      <c r="K201">
        <v>3.3</v>
      </c>
      <c r="L201">
        <v>1241.05</v>
      </c>
    </row>
    <row r="202" spans="1:12" x14ac:dyDescent="0.35">
      <c r="A202">
        <v>10201</v>
      </c>
      <c r="B202" t="s">
        <v>139</v>
      </c>
      <c r="C202">
        <v>1899</v>
      </c>
      <c r="D202" t="s">
        <v>29</v>
      </c>
      <c r="E202" t="s">
        <v>17</v>
      </c>
      <c r="F202">
        <v>4</v>
      </c>
      <c r="G202">
        <v>332.33</v>
      </c>
      <c r="H202">
        <v>0.32</v>
      </c>
      <c r="I202" t="s">
        <v>18</v>
      </c>
      <c r="J202">
        <v>7</v>
      </c>
      <c r="K202">
        <v>3</v>
      </c>
      <c r="L202">
        <v>903.94</v>
      </c>
    </row>
    <row r="203" spans="1:12" x14ac:dyDescent="0.35">
      <c r="A203">
        <v>10202</v>
      </c>
      <c r="B203" t="s">
        <v>140</v>
      </c>
      <c r="C203">
        <v>1733</v>
      </c>
      <c r="D203" t="s">
        <v>19</v>
      </c>
      <c r="E203" t="s">
        <v>21</v>
      </c>
      <c r="F203">
        <v>7</v>
      </c>
      <c r="G203">
        <v>575.9</v>
      </c>
      <c r="H203">
        <v>0.25</v>
      </c>
      <c r="I203" t="s">
        <v>18</v>
      </c>
      <c r="J203">
        <v>8</v>
      </c>
      <c r="K203">
        <v>2</v>
      </c>
      <c r="L203">
        <v>3023.48</v>
      </c>
    </row>
    <row r="204" spans="1:12" x14ac:dyDescent="0.35">
      <c r="A204">
        <v>10203</v>
      </c>
      <c r="B204" t="s">
        <v>141</v>
      </c>
      <c r="C204">
        <v>1484</v>
      </c>
      <c r="D204" t="s">
        <v>19</v>
      </c>
      <c r="E204" t="s">
        <v>21</v>
      </c>
      <c r="F204">
        <v>1</v>
      </c>
      <c r="G204">
        <v>135.52000000000001</v>
      </c>
      <c r="H204">
        <v>0.28999999999999998</v>
      </c>
      <c r="I204" t="s">
        <v>18</v>
      </c>
      <c r="J204">
        <v>7</v>
      </c>
      <c r="K204">
        <v>1.9</v>
      </c>
      <c r="L204">
        <v>96.22</v>
      </c>
    </row>
    <row r="205" spans="1:12" x14ac:dyDescent="0.35">
      <c r="A205">
        <v>10204</v>
      </c>
      <c r="B205" t="s">
        <v>142</v>
      </c>
      <c r="C205">
        <v>1406</v>
      </c>
      <c r="D205" t="s">
        <v>29</v>
      </c>
      <c r="E205" t="s">
        <v>20</v>
      </c>
      <c r="F205">
        <v>1</v>
      </c>
      <c r="G205">
        <v>398.08</v>
      </c>
      <c r="H205">
        <v>0.31</v>
      </c>
      <c r="I205" t="s">
        <v>18</v>
      </c>
      <c r="J205">
        <v>11</v>
      </c>
      <c r="K205">
        <v>2.5</v>
      </c>
      <c r="L205">
        <v>274.68</v>
      </c>
    </row>
    <row r="206" spans="1:12" x14ac:dyDescent="0.35">
      <c r="A206">
        <v>10205</v>
      </c>
      <c r="B206" t="s">
        <v>143</v>
      </c>
      <c r="C206">
        <v>1230</v>
      </c>
      <c r="D206" t="s">
        <v>15</v>
      </c>
      <c r="E206" t="s">
        <v>21</v>
      </c>
      <c r="F206">
        <v>5</v>
      </c>
      <c r="G206">
        <v>40.39</v>
      </c>
      <c r="H206">
        <v>0.34</v>
      </c>
      <c r="I206" t="s">
        <v>16</v>
      </c>
      <c r="J206">
        <v>3</v>
      </c>
      <c r="K206">
        <v>1.7</v>
      </c>
      <c r="L206">
        <v>133.29</v>
      </c>
    </row>
    <row r="207" spans="1:12" x14ac:dyDescent="0.35">
      <c r="A207">
        <v>10206</v>
      </c>
      <c r="B207" t="s">
        <v>144</v>
      </c>
      <c r="C207">
        <v>1748</v>
      </c>
      <c r="D207" t="s">
        <v>15</v>
      </c>
      <c r="E207" t="s">
        <v>17</v>
      </c>
      <c r="F207">
        <v>2</v>
      </c>
      <c r="G207">
        <v>53.85</v>
      </c>
      <c r="H207">
        <v>0.27</v>
      </c>
      <c r="I207" t="s">
        <v>16</v>
      </c>
      <c r="J207">
        <v>6</v>
      </c>
      <c r="K207">
        <v>3.7</v>
      </c>
      <c r="L207">
        <v>78.62</v>
      </c>
    </row>
    <row r="208" spans="1:12" x14ac:dyDescent="0.35">
      <c r="A208">
        <v>10207</v>
      </c>
      <c r="B208" t="s">
        <v>145</v>
      </c>
      <c r="C208">
        <v>1654</v>
      </c>
      <c r="D208" t="s">
        <v>15</v>
      </c>
      <c r="E208" t="s">
        <v>13</v>
      </c>
      <c r="F208">
        <v>5</v>
      </c>
      <c r="G208">
        <v>337.82</v>
      </c>
      <c r="H208">
        <v>0.21</v>
      </c>
      <c r="I208" t="s">
        <v>16</v>
      </c>
      <c r="J208">
        <v>4</v>
      </c>
      <c r="K208">
        <v>3.5</v>
      </c>
      <c r="L208">
        <v>1334.39</v>
      </c>
    </row>
    <row r="209" spans="1:12" x14ac:dyDescent="0.35">
      <c r="A209">
        <v>10208</v>
      </c>
      <c r="B209" t="s">
        <v>146</v>
      </c>
      <c r="C209">
        <v>1170</v>
      </c>
      <c r="D209" t="s">
        <v>19</v>
      </c>
      <c r="E209" t="s">
        <v>20</v>
      </c>
      <c r="F209">
        <v>1</v>
      </c>
      <c r="G209">
        <v>76.39</v>
      </c>
      <c r="H209">
        <v>0.13</v>
      </c>
      <c r="I209" t="s">
        <v>16</v>
      </c>
      <c r="J209">
        <v>5</v>
      </c>
      <c r="K209">
        <v>3.5</v>
      </c>
      <c r="L209">
        <v>66.459999999999994</v>
      </c>
    </row>
    <row r="210" spans="1:12" x14ac:dyDescent="0.35">
      <c r="A210">
        <v>10209</v>
      </c>
      <c r="B210" t="s">
        <v>147</v>
      </c>
      <c r="C210">
        <v>1540</v>
      </c>
      <c r="D210" t="s">
        <v>19</v>
      </c>
      <c r="E210" t="s">
        <v>17</v>
      </c>
      <c r="F210">
        <v>4</v>
      </c>
      <c r="G210">
        <v>28.07</v>
      </c>
      <c r="H210">
        <v>0.06</v>
      </c>
      <c r="I210" t="s">
        <v>16</v>
      </c>
      <c r="J210">
        <v>3</v>
      </c>
      <c r="K210">
        <v>1.9</v>
      </c>
      <c r="L210">
        <v>105.54</v>
      </c>
    </row>
    <row r="211" spans="1:12" x14ac:dyDescent="0.35">
      <c r="A211">
        <v>10210</v>
      </c>
      <c r="B211" t="s">
        <v>148</v>
      </c>
      <c r="C211">
        <v>1035</v>
      </c>
      <c r="D211" t="s">
        <v>15</v>
      </c>
      <c r="E211" t="s">
        <v>13</v>
      </c>
      <c r="F211">
        <v>2</v>
      </c>
      <c r="G211">
        <v>115.34</v>
      </c>
      <c r="H211">
        <v>0.24</v>
      </c>
      <c r="I211" t="s">
        <v>16</v>
      </c>
      <c r="J211">
        <v>5</v>
      </c>
      <c r="K211">
        <v>2</v>
      </c>
      <c r="L211">
        <v>175.32</v>
      </c>
    </row>
    <row r="212" spans="1:12" x14ac:dyDescent="0.35">
      <c r="A212">
        <v>10211</v>
      </c>
      <c r="B212" t="s">
        <v>149</v>
      </c>
      <c r="C212">
        <v>1524</v>
      </c>
      <c r="D212" t="s">
        <v>19</v>
      </c>
      <c r="E212" t="s">
        <v>20</v>
      </c>
      <c r="F212">
        <v>4</v>
      </c>
      <c r="G212">
        <v>345.44</v>
      </c>
      <c r="H212">
        <v>0.35</v>
      </c>
      <c r="I212" t="s">
        <v>16</v>
      </c>
      <c r="J212">
        <v>6</v>
      </c>
      <c r="K212">
        <v>4.0999999999999996</v>
      </c>
      <c r="L212">
        <v>898.14</v>
      </c>
    </row>
    <row r="213" spans="1:12" x14ac:dyDescent="0.35">
      <c r="A213">
        <v>10212</v>
      </c>
      <c r="B213" t="s">
        <v>150</v>
      </c>
      <c r="C213">
        <v>1159</v>
      </c>
      <c r="D213" t="s">
        <v>19</v>
      </c>
      <c r="E213" t="s">
        <v>20</v>
      </c>
      <c r="F213">
        <v>5</v>
      </c>
      <c r="G213">
        <v>426.45</v>
      </c>
      <c r="H213">
        <v>0.16</v>
      </c>
      <c r="I213" t="s">
        <v>18</v>
      </c>
      <c r="J213">
        <v>8</v>
      </c>
      <c r="K213">
        <v>3.8</v>
      </c>
      <c r="L213">
        <v>1791.09</v>
      </c>
    </row>
    <row r="214" spans="1:12" x14ac:dyDescent="0.35">
      <c r="A214">
        <v>10213</v>
      </c>
      <c r="B214" s="1">
        <v>44569</v>
      </c>
      <c r="C214">
        <v>1838</v>
      </c>
      <c r="D214" t="s">
        <v>29</v>
      </c>
      <c r="E214" t="s">
        <v>13</v>
      </c>
      <c r="F214">
        <v>3</v>
      </c>
      <c r="G214">
        <v>133.44999999999999</v>
      </c>
      <c r="H214">
        <v>0.25</v>
      </c>
      <c r="I214" t="s">
        <v>14</v>
      </c>
      <c r="J214">
        <v>6</v>
      </c>
      <c r="K214">
        <v>4.5</v>
      </c>
      <c r="L214">
        <v>300.26</v>
      </c>
    </row>
    <row r="215" spans="1:12" x14ac:dyDescent="0.35">
      <c r="A215">
        <v>10214</v>
      </c>
      <c r="B215" s="1">
        <v>44600</v>
      </c>
      <c r="C215">
        <v>1698</v>
      </c>
      <c r="D215" t="s">
        <v>12</v>
      </c>
      <c r="E215" t="s">
        <v>13</v>
      </c>
      <c r="F215">
        <v>4</v>
      </c>
      <c r="G215">
        <v>405.93</v>
      </c>
      <c r="H215">
        <v>0.17</v>
      </c>
      <c r="I215" t="s">
        <v>14</v>
      </c>
      <c r="J215">
        <v>9</v>
      </c>
      <c r="K215">
        <v>2.6</v>
      </c>
      <c r="L215">
        <v>1347.69</v>
      </c>
    </row>
    <row r="216" spans="1:12" x14ac:dyDescent="0.35">
      <c r="A216">
        <v>10215</v>
      </c>
      <c r="B216" s="1">
        <v>44628</v>
      </c>
      <c r="C216">
        <v>1242</v>
      </c>
      <c r="D216" t="s">
        <v>29</v>
      </c>
      <c r="E216" t="s">
        <v>17</v>
      </c>
      <c r="F216">
        <v>5</v>
      </c>
      <c r="G216">
        <v>121.75</v>
      </c>
      <c r="H216">
        <v>0.15</v>
      </c>
      <c r="I216" t="s">
        <v>16</v>
      </c>
      <c r="J216">
        <v>10</v>
      </c>
      <c r="K216">
        <v>3.2</v>
      </c>
      <c r="L216">
        <v>517.44000000000005</v>
      </c>
    </row>
    <row r="217" spans="1:12" x14ac:dyDescent="0.35">
      <c r="A217">
        <v>10216</v>
      </c>
      <c r="B217" s="1">
        <v>44659</v>
      </c>
      <c r="C217">
        <v>1085</v>
      </c>
      <c r="D217" t="s">
        <v>12</v>
      </c>
      <c r="E217" t="s">
        <v>21</v>
      </c>
      <c r="F217">
        <v>5</v>
      </c>
      <c r="G217">
        <v>373.87</v>
      </c>
      <c r="H217">
        <v>0.14000000000000001</v>
      </c>
      <c r="I217" t="s">
        <v>16</v>
      </c>
      <c r="J217">
        <v>10</v>
      </c>
      <c r="K217">
        <v>4</v>
      </c>
      <c r="L217">
        <v>1607.64</v>
      </c>
    </row>
    <row r="218" spans="1:12" x14ac:dyDescent="0.35">
      <c r="A218">
        <v>10217</v>
      </c>
      <c r="B218" s="1">
        <v>44689</v>
      </c>
      <c r="C218">
        <v>1795</v>
      </c>
      <c r="D218" t="s">
        <v>19</v>
      </c>
      <c r="E218" t="s">
        <v>21</v>
      </c>
      <c r="F218">
        <v>5</v>
      </c>
      <c r="G218">
        <v>256</v>
      </c>
      <c r="H218">
        <v>0.18</v>
      </c>
      <c r="I218" t="s">
        <v>16</v>
      </c>
      <c r="J218">
        <v>10</v>
      </c>
      <c r="K218">
        <v>4.9000000000000004</v>
      </c>
      <c r="L218">
        <v>1049.5999999999999</v>
      </c>
    </row>
    <row r="219" spans="1:12" x14ac:dyDescent="0.35">
      <c r="A219">
        <v>10218</v>
      </c>
      <c r="B219" s="1">
        <v>44720</v>
      </c>
      <c r="C219">
        <v>1577</v>
      </c>
      <c r="D219" t="s">
        <v>12</v>
      </c>
      <c r="E219" t="s">
        <v>21</v>
      </c>
      <c r="F219">
        <v>3</v>
      </c>
      <c r="G219">
        <v>397.47</v>
      </c>
      <c r="H219">
        <v>0.13</v>
      </c>
      <c r="I219" t="s">
        <v>14</v>
      </c>
      <c r="J219">
        <v>10</v>
      </c>
      <c r="K219">
        <v>5</v>
      </c>
      <c r="L219">
        <v>1037.4000000000001</v>
      </c>
    </row>
    <row r="220" spans="1:12" x14ac:dyDescent="0.35">
      <c r="A220">
        <v>10219</v>
      </c>
      <c r="B220" s="1">
        <v>44750</v>
      </c>
      <c r="C220">
        <v>1681</v>
      </c>
      <c r="D220" t="s">
        <v>19</v>
      </c>
      <c r="E220" t="s">
        <v>21</v>
      </c>
      <c r="F220">
        <v>3</v>
      </c>
      <c r="G220">
        <v>597.11</v>
      </c>
      <c r="H220">
        <v>0.26</v>
      </c>
      <c r="I220" t="s">
        <v>18</v>
      </c>
      <c r="J220">
        <v>4</v>
      </c>
      <c r="K220">
        <v>5</v>
      </c>
      <c r="L220">
        <v>1325.58</v>
      </c>
    </row>
    <row r="221" spans="1:12" x14ac:dyDescent="0.35">
      <c r="A221">
        <v>10220</v>
      </c>
      <c r="B221" s="1">
        <v>44781</v>
      </c>
      <c r="C221">
        <v>1556</v>
      </c>
      <c r="D221" t="s">
        <v>12</v>
      </c>
      <c r="E221" t="s">
        <v>21</v>
      </c>
      <c r="F221">
        <v>7</v>
      </c>
      <c r="G221">
        <v>563.62</v>
      </c>
      <c r="H221">
        <v>0.31</v>
      </c>
      <c r="I221" t="s">
        <v>16</v>
      </c>
      <c r="J221">
        <v>2</v>
      </c>
      <c r="K221">
        <v>4.5999999999999996</v>
      </c>
      <c r="L221">
        <v>2722.28</v>
      </c>
    </row>
    <row r="222" spans="1:12" x14ac:dyDescent="0.35">
      <c r="A222">
        <v>10221</v>
      </c>
      <c r="B222" s="1">
        <v>44812</v>
      </c>
      <c r="C222">
        <v>1573</v>
      </c>
      <c r="D222" t="s">
        <v>12</v>
      </c>
      <c r="E222" t="s">
        <v>17</v>
      </c>
      <c r="F222">
        <v>3</v>
      </c>
      <c r="G222">
        <v>17.5</v>
      </c>
      <c r="H222">
        <v>0.31</v>
      </c>
      <c r="I222" t="s">
        <v>14</v>
      </c>
      <c r="J222">
        <v>9</v>
      </c>
      <c r="K222">
        <v>3.6</v>
      </c>
      <c r="L222">
        <v>36.22</v>
      </c>
    </row>
    <row r="223" spans="1:12" x14ac:dyDescent="0.35">
      <c r="A223">
        <v>10222</v>
      </c>
      <c r="B223" s="1">
        <v>44842</v>
      </c>
      <c r="C223">
        <v>1952</v>
      </c>
      <c r="D223" t="s">
        <v>29</v>
      </c>
      <c r="E223" t="s">
        <v>20</v>
      </c>
      <c r="F223">
        <v>2</v>
      </c>
      <c r="G223">
        <v>532.98</v>
      </c>
      <c r="H223">
        <v>0.08</v>
      </c>
      <c r="I223" t="s">
        <v>16</v>
      </c>
      <c r="J223">
        <v>11</v>
      </c>
      <c r="K223">
        <v>1</v>
      </c>
      <c r="L223">
        <v>980.68</v>
      </c>
    </row>
    <row r="224" spans="1:12" x14ac:dyDescent="0.35">
      <c r="A224">
        <v>10223</v>
      </c>
      <c r="B224" s="1">
        <v>44873</v>
      </c>
      <c r="C224">
        <v>1645</v>
      </c>
      <c r="D224" t="s">
        <v>12</v>
      </c>
      <c r="E224" t="s">
        <v>17</v>
      </c>
      <c r="F224">
        <v>3</v>
      </c>
      <c r="G224">
        <v>53.9</v>
      </c>
      <c r="H224">
        <v>0.31</v>
      </c>
      <c r="I224" t="s">
        <v>14</v>
      </c>
      <c r="J224">
        <v>3</v>
      </c>
      <c r="K224">
        <v>3.8</v>
      </c>
      <c r="L224">
        <v>111.57</v>
      </c>
    </row>
    <row r="225" spans="1:12" x14ac:dyDescent="0.35">
      <c r="A225">
        <v>10224</v>
      </c>
      <c r="B225" s="1">
        <v>44903</v>
      </c>
      <c r="C225">
        <v>1795</v>
      </c>
      <c r="D225" t="s">
        <v>15</v>
      </c>
      <c r="E225" t="s">
        <v>17</v>
      </c>
      <c r="F225">
        <v>3</v>
      </c>
      <c r="G225">
        <v>572.53</v>
      </c>
      <c r="H225">
        <v>0.12</v>
      </c>
      <c r="I225" t="s">
        <v>16</v>
      </c>
      <c r="J225">
        <v>11</v>
      </c>
      <c r="K225">
        <v>2</v>
      </c>
      <c r="L225">
        <v>1511.48</v>
      </c>
    </row>
    <row r="226" spans="1:12" x14ac:dyDescent="0.35">
      <c r="A226">
        <v>10225</v>
      </c>
      <c r="B226" t="s">
        <v>151</v>
      </c>
      <c r="C226">
        <v>1027</v>
      </c>
      <c r="D226" t="s">
        <v>19</v>
      </c>
      <c r="E226" t="s">
        <v>17</v>
      </c>
      <c r="F226">
        <v>3</v>
      </c>
      <c r="G226">
        <v>179.87</v>
      </c>
      <c r="H226">
        <v>0.11</v>
      </c>
      <c r="I226" t="s">
        <v>16</v>
      </c>
      <c r="J226">
        <v>7</v>
      </c>
      <c r="K226">
        <v>1.2</v>
      </c>
      <c r="L226">
        <v>480.25</v>
      </c>
    </row>
    <row r="227" spans="1:12" x14ac:dyDescent="0.35">
      <c r="A227">
        <v>10226</v>
      </c>
      <c r="B227" t="s">
        <v>152</v>
      </c>
      <c r="C227">
        <v>1619</v>
      </c>
      <c r="D227" t="s">
        <v>15</v>
      </c>
      <c r="E227" t="s">
        <v>20</v>
      </c>
      <c r="F227">
        <v>4</v>
      </c>
      <c r="G227">
        <v>238.49</v>
      </c>
      <c r="H227">
        <v>0.25</v>
      </c>
      <c r="I227" t="s">
        <v>18</v>
      </c>
      <c r="J227">
        <v>4</v>
      </c>
      <c r="K227">
        <v>3.8</v>
      </c>
      <c r="L227">
        <v>715.47</v>
      </c>
    </row>
    <row r="228" spans="1:12" x14ac:dyDescent="0.35">
      <c r="A228">
        <v>10227</v>
      </c>
      <c r="B228" t="s">
        <v>153</v>
      </c>
      <c r="C228">
        <v>1555</v>
      </c>
      <c r="D228" t="s">
        <v>15</v>
      </c>
      <c r="E228" t="s">
        <v>17</v>
      </c>
      <c r="F228">
        <v>3</v>
      </c>
      <c r="G228">
        <v>68.61</v>
      </c>
      <c r="H228">
        <v>0.11</v>
      </c>
      <c r="I228" t="s">
        <v>14</v>
      </c>
      <c r="J228">
        <v>1</v>
      </c>
      <c r="K228">
        <v>4</v>
      </c>
      <c r="L228">
        <v>183.19</v>
      </c>
    </row>
    <row r="229" spans="1:12" x14ac:dyDescent="0.35">
      <c r="A229">
        <v>10228</v>
      </c>
      <c r="B229" t="s">
        <v>154</v>
      </c>
      <c r="C229">
        <v>1339</v>
      </c>
      <c r="D229" t="s">
        <v>19</v>
      </c>
      <c r="E229" t="s">
        <v>17</v>
      </c>
      <c r="F229">
        <v>2</v>
      </c>
      <c r="G229">
        <v>80.680000000000007</v>
      </c>
      <c r="H229">
        <v>0.02</v>
      </c>
      <c r="I229" t="s">
        <v>14</v>
      </c>
      <c r="J229">
        <v>8</v>
      </c>
      <c r="K229">
        <v>3.6</v>
      </c>
      <c r="L229">
        <v>158.13</v>
      </c>
    </row>
    <row r="230" spans="1:12" x14ac:dyDescent="0.35">
      <c r="A230">
        <v>10229</v>
      </c>
      <c r="B230" t="s">
        <v>155</v>
      </c>
      <c r="C230">
        <v>1797</v>
      </c>
      <c r="D230" t="s">
        <v>15</v>
      </c>
      <c r="E230" t="s">
        <v>20</v>
      </c>
      <c r="F230">
        <v>5</v>
      </c>
      <c r="G230">
        <v>440.14</v>
      </c>
      <c r="H230">
        <v>0.13</v>
      </c>
      <c r="I230" t="s">
        <v>18</v>
      </c>
      <c r="J230">
        <v>4</v>
      </c>
      <c r="K230">
        <v>2.5</v>
      </c>
      <c r="L230">
        <v>1914.61</v>
      </c>
    </row>
    <row r="231" spans="1:12" x14ac:dyDescent="0.35">
      <c r="A231">
        <v>10230</v>
      </c>
      <c r="B231" t="s">
        <v>156</v>
      </c>
      <c r="C231">
        <v>1957</v>
      </c>
      <c r="D231" t="s">
        <v>12</v>
      </c>
      <c r="E231" t="s">
        <v>17</v>
      </c>
      <c r="F231">
        <v>4</v>
      </c>
      <c r="G231">
        <v>567.42999999999995</v>
      </c>
      <c r="H231">
        <v>0.25</v>
      </c>
      <c r="I231" t="s">
        <v>16</v>
      </c>
      <c r="J231">
        <v>11</v>
      </c>
      <c r="K231">
        <v>3</v>
      </c>
      <c r="L231">
        <v>1702.29</v>
      </c>
    </row>
    <row r="232" spans="1:12" x14ac:dyDescent="0.35">
      <c r="A232">
        <v>10231</v>
      </c>
      <c r="B232" t="s">
        <v>157</v>
      </c>
      <c r="C232">
        <v>1330</v>
      </c>
      <c r="D232" t="s">
        <v>19</v>
      </c>
      <c r="E232" t="s">
        <v>21</v>
      </c>
      <c r="F232">
        <v>1</v>
      </c>
      <c r="G232">
        <v>372.29</v>
      </c>
      <c r="H232">
        <v>0.11</v>
      </c>
      <c r="I232" t="s">
        <v>16</v>
      </c>
      <c r="J232">
        <v>6</v>
      </c>
      <c r="K232">
        <v>4.7</v>
      </c>
      <c r="L232">
        <v>331.34</v>
      </c>
    </row>
    <row r="233" spans="1:12" x14ac:dyDescent="0.35">
      <c r="A233">
        <v>10232</v>
      </c>
      <c r="B233" t="s">
        <v>158</v>
      </c>
      <c r="C233">
        <v>1639</v>
      </c>
      <c r="D233" t="s">
        <v>29</v>
      </c>
      <c r="E233" t="s">
        <v>13</v>
      </c>
      <c r="F233">
        <v>3</v>
      </c>
      <c r="G233">
        <v>433.77</v>
      </c>
      <c r="H233">
        <v>0.22</v>
      </c>
      <c r="I233" t="s">
        <v>14</v>
      </c>
      <c r="J233">
        <v>7</v>
      </c>
      <c r="K233">
        <v>3.9</v>
      </c>
      <c r="L233">
        <v>1015.02</v>
      </c>
    </row>
    <row r="234" spans="1:12" x14ac:dyDescent="0.35">
      <c r="A234">
        <v>10233</v>
      </c>
      <c r="B234" t="s">
        <v>159</v>
      </c>
      <c r="C234">
        <v>1505</v>
      </c>
      <c r="D234" t="s">
        <v>12</v>
      </c>
      <c r="E234" t="s">
        <v>17</v>
      </c>
      <c r="F234">
        <v>7</v>
      </c>
      <c r="G234">
        <v>460.75</v>
      </c>
      <c r="H234">
        <v>0.23</v>
      </c>
      <c r="I234" t="s">
        <v>18</v>
      </c>
      <c r="J234">
        <v>8</v>
      </c>
      <c r="K234">
        <v>3</v>
      </c>
      <c r="L234">
        <v>2483.44</v>
      </c>
    </row>
    <row r="235" spans="1:12" x14ac:dyDescent="0.35">
      <c r="A235">
        <v>10234</v>
      </c>
      <c r="B235" t="s">
        <v>160</v>
      </c>
      <c r="C235">
        <v>1347</v>
      </c>
      <c r="D235" t="s">
        <v>12</v>
      </c>
      <c r="E235" t="s">
        <v>13</v>
      </c>
      <c r="F235">
        <v>7</v>
      </c>
      <c r="G235">
        <v>168.75</v>
      </c>
      <c r="H235">
        <v>0.26</v>
      </c>
      <c r="I235" t="s">
        <v>18</v>
      </c>
      <c r="J235">
        <v>10</v>
      </c>
      <c r="K235">
        <v>3.4</v>
      </c>
      <c r="L235">
        <v>874.12</v>
      </c>
    </row>
    <row r="236" spans="1:12" x14ac:dyDescent="0.35">
      <c r="A236">
        <v>10235</v>
      </c>
      <c r="B236" t="s">
        <v>161</v>
      </c>
      <c r="C236">
        <v>1472</v>
      </c>
      <c r="D236" t="s">
        <v>12</v>
      </c>
      <c r="E236" t="s">
        <v>17</v>
      </c>
      <c r="F236">
        <v>5</v>
      </c>
      <c r="G236">
        <v>41.46</v>
      </c>
      <c r="H236">
        <v>0.31</v>
      </c>
      <c r="I236" t="s">
        <v>16</v>
      </c>
      <c r="J236">
        <v>2</v>
      </c>
      <c r="K236">
        <v>4.7</v>
      </c>
      <c r="L236">
        <v>143.04</v>
      </c>
    </row>
    <row r="237" spans="1:12" x14ac:dyDescent="0.35">
      <c r="A237">
        <v>10236</v>
      </c>
      <c r="B237" t="s">
        <v>162</v>
      </c>
      <c r="C237">
        <v>1230</v>
      </c>
      <c r="D237" t="s">
        <v>15</v>
      </c>
      <c r="E237" t="s">
        <v>17</v>
      </c>
      <c r="F237">
        <v>5</v>
      </c>
      <c r="G237">
        <v>16.100000000000001</v>
      </c>
      <c r="H237">
        <v>0.15</v>
      </c>
      <c r="I237" t="s">
        <v>18</v>
      </c>
      <c r="J237">
        <v>9</v>
      </c>
      <c r="K237">
        <v>2.6</v>
      </c>
      <c r="L237">
        <v>68.42</v>
      </c>
    </row>
    <row r="238" spans="1:12" x14ac:dyDescent="0.35">
      <c r="A238">
        <v>10237</v>
      </c>
      <c r="B238" t="s">
        <v>163</v>
      </c>
      <c r="C238">
        <v>1189</v>
      </c>
      <c r="D238" t="s">
        <v>12</v>
      </c>
      <c r="E238" t="s">
        <v>21</v>
      </c>
      <c r="F238">
        <v>4</v>
      </c>
      <c r="G238">
        <v>220.13</v>
      </c>
      <c r="H238">
        <v>0.06</v>
      </c>
      <c r="I238" t="s">
        <v>16</v>
      </c>
      <c r="J238">
        <v>10</v>
      </c>
      <c r="K238">
        <v>1.4</v>
      </c>
      <c r="L238">
        <v>827.69</v>
      </c>
    </row>
    <row r="239" spans="1:12" x14ac:dyDescent="0.35">
      <c r="A239">
        <v>10238</v>
      </c>
      <c r="B239" t="s">
        <v>164</v>
      </c>
      <c r="C239">
        <v>1224</v>
      </c>
      <c r="D239" t="s">
        <v>29</v>
      </c>
      <c r="E239" t="s">
        <v>20</v>
      </c>
      <c r="F239">
        <v>7</v>
      </c>
      <c r="G239">
        <v>156.26</v>
      </c>
      <c r="H239">
        <v>0.11</v>
      </c>
      <c r="I239" t="s">
        <v>18</v>
      </c>
      <c r="J239">
        <v>3</v>
      </c>
      <c r="K239">
        <v>2.2999999999999998</v>
      </c>
      <c r="L239">
        <v>973.5</v>
      </c>
    </row>
    <row r="240" spans="1:12" x14ac:dyDescent="0.35">
      <c r="A240">
        <v>10239</v>
      </c>
      <c r="B240" t="s">
        <v>165</v>
      </c>
      <c r="C240">
        <v>1384</v>
      </c>
      <c r="D240" t="s">
        <v>19</v>
      </c>
      <c r="E240" t="s">
        <v>13</v>
      </c>
      <c r="F240">
        <v>1</v>
      </c>
      <c r="G240">
        <v>51.46</v>
      </c>
      <c r="H240">
        <v>0.15</v>
      </c>
      <c r="I240" t="s">
        <v>14</v>
      </c>
      <c r="J240">
        <v>1</v>
      </c>
      <c r="K240">
        <v>2.7</v>
      </c>
      <c r="L240">
        <v>43.74</v>
      </c>
    </row>
    <row r="241" spans="1:12" x14ac:dyDescent="0.35">
      <c r="A241">
        <v>10240</v>
      </c>
      <c r="B241" t="s">
        <v>166</v>
      </c>
      <c r="C241">
        <v>1376</v>
      </c>
      <c r="D241" t="s">
        <v>15</v>
      </c>
      <c r="E241" t="s">
        <v>20</v>
      </c>
      <c r="F241">
        <v>6</v>
      </c>
      <c r="G241">
        <v>120.02</v>
      </c>
      <c r="H241">
        <v>0.25</v>
      </c>
      <c r="I241" t="s">
        <v>18</v>
      </c>
      <c r="J241">
        <v>2</v>
      </c>
      <c r="K241">
        <v>2.1</v>
      </c>
      <c r="L241">
        <v>540.09</v>
      </c>
    </row>
    <row r="242" spans="1:12" x14ac:dyDescent="0.35">
      <c r="A242">
        <v>10241</v>
      </c>
      <c r="B242" t="s">
        <v>167</v>
      </c>
      <c r="C242">
        <v>1282</v>
      </c>
      <c r="D242" t="s">
        <v>29</v>
      </c>
      <c r="E242" t="s">
        <v>21</v>
      </c>
      <c r="F242">
        <v>7</v>
      </c>
      <c r="G242">
        <v>87.83</v>
      </c>
      <c r="H242">
        <v>0</v>
      </c>
      <c r="I242" t="s">
        <v>18</v>
      </c>
      <c r="J242">
        <v>8</v>
      </c>
      <c r="K242">
        <v>3.1</v>
      </c>
      <c r="L242">
        <v>614.80999999999995</v>
      </c>
    </row>
    <row r="243" spans="1:12" x14ac:dyDescent="0.35">
      <c r="A243">
        <v>10242</v>
      </c>
      <c r="B243" t="s">
        <v>168</v>
      </c>
      <c r="C243">
        <v>1957</v>
      </c>
      <c r="D243" t="s">
        <v>19</v>
      </c>
      <c r="E243" t="s">
        <v>21</v>
      </c>
      <c r="F243">
        <v>7</v>
      </c>
      <c r="G243">
        <v>550.20000000000005</v>
      </c>
      <c r="H243">
        <v>0.11</v>
      </c>
      <c r="I243" t="s">
        <v>16</v>
      </c>
      <c r="J243">
        <v>10</v>
      </c>
      <c r="K243">
        <v>2.2000000000000002</v>
      </c>
      <c r="L243">
        <v>3427.75</v>
      </c>
    </row>
    <row r="244" spans="1:12" x14ac:dyDescent="0.35">
      <c r="A244">
        <v>10243</v>
      </c>
      <c r="B244" t="s">
        <v>169</v>
      </c>
      <c r="C244">
        <v>1632</v>
      </c>
      <c r="D244" t="s">
        <v>15</v>
      </c>
      <c r="E244" t="s">
        <v>13</v>
      </c>
      <c r="F244">
        <v>2</v>
      </c>
      <c r="G244">
        <v>97.06</v>
      </c>
      <c r="H244">
        <v>0.27</v>
      </c>
      <c r="I244" t="s">
        <v>16</v>
      </c>
      <c r="J244">
        <v>6</v>
      </c>
      <c r="K244">
        <v>1.4</v>
      </c>
      <c r="L244">
        <v>141.71</v>
      </c>
    </row>
    <row r="245" spans="1:12" x14ac:dyDescent="0.35">
      <c r="A245">
        <v>10244</v>
      </c>
      <c r="B245" s="1">
        <v>44570</v>
      </c>
      <c r="C245">
        <v>1627</v>
      </c>
      <c r="D245" t="s">
        <v>29</v>
      </c>
      <c r="E245" t="s">
        <v>20</v>
      </c>
      <c r="F245">
        <v>6</v>
      </c>
      <c r="G245">
        <v>329.52</v>
      </c>
      <c r="H245">
        <v>0.23</v>
      </c>
      <c r="I245" t="s">
        <v>14</v>
      </c>
      <c r="J245">
        <v>11</v>
      </c>
      <c r="K245">
        <v>1.8</v>
      </c>
      <c r="L245">
        <v>1522.38</v>
      </c>
    </row>
    <row r="246" spans="1:12" x14ac:dyDescent="0.35">
      <c r="A246">
        <v>10245</v>
      </c>
      <c r="B246" s="1">
        <v>44601</v>
      </c>
      <c r="C246">
        <v>1972</v>
      </c>
      <c r="D246" t="s">
        <v>19</v>
      </c>
      <c r="E246" t="s">
        <v>21</v>
      </c>
      <c r="F246">
        <v>5</v>
      </c>
      <c r="G246">
        <v>361.97</v>
      </c>
      <c r="H246">
        <v>0.26</v>
      </c>
      <c r="I246" t="s">
        <v>16</v>
      </c>
      <c r="J246">
        <v>1</v>
      </c>
      <c r="K246">
        <v>4.7</v>
      </c>
      <c r="L246">
        <v>1339.29</v>
      </c>
    </row>
    <row r="247" spans="1:12" x14ac:dyDescent="0.35">
      <c r="A247">
        <v>10246</v>
      </c>
      <c r="B247" s="1">
        <v>44629</v>
      </c>
      <c r="C247">
        <v>1744</v>
      </c>
      <c r="D247" t="s">
        <v>15</v>
      </c>
      <c r="E247" t="s">
        <v>17</v>
      </c>
      <c r="F247">
        <v>6</v>
      </c>
      <c r="G247">
        <v>332.94</v>
      </c>
      <c r="H247">
        <v>0.28000000000000003</v>
      </c>
      <c r="I247" t="s">
        <v>14</v>
      </c>
      <c r="J247">
        <v>11</v>
      </c>
      <c r="K247">
        <v>3.5</v>
      </c>
      <c r="L247">
        <v>1438.3</v>
      </c>
    </row>
    <row r="248" spans="1:12" x14ac:dyDescent="0.35">
      <c r="A248">
        <v>10247</v>
      </c>
      <c r="B248" s="1">
        <v>44660</v>
      </c>
      <c r="C248">
        <v>1258</v>
      </c>
      <c r="D248" t="s">
        <v>29</v>
      </c>
      <c r="E248" t="s">
        <v>17</v>
      </c>
      <c r="F248">
        <v>7</v>
      </c>
      <c r="G248">
        <v>72.95</v>
      </c>
      <c r="H248">
        <v>0.27</v>
      </c>
      <c r="I248" t="s">
        <v>18</v>
      </c>
      <c r="J248">
        <v>9</v>
      </c>
      <c r="K248">
        <v>2.2999999999999998</v>
      </c>
      <c r="L248">
        <v>372.77</v>
      </c>
    </row>
    <row r="249" spans="1:12" x14ac:dyDescent="0.35">
      <c r="A249">
        <v>10248</v>
      </c>
      <c r="B249" s="1">
        <v>44690</v>
      </c>
      <c r="C249">
        <v>1358</v>
      </c>
      <c r="D249" t="s">
        <v>15</v>
      </c>
      <c r="E249" t="s">
        <v>17</v>
      </c>
      <c r="F249">
        <v>5</v>
      </c>
      <c r="G249">
        <v>201.5</v>
      </c>
      <c r="H249">
        <v>0.24</v>
      </c>
      <c r="I249" t="s">
        <v>18</v>
      </c>
      <c r="J249">
        <v>7</v>
      </c>
      <c r="K249">
        <v>2.5</v>
      </c>
      <c r="L249">
        <v>765.7</v>
      </c>
    </row>
    <row r="250" spans="1:12" x14ac:dyDescent="0.35">
      <c r="A250">
        <v>10249</v>
      </c>
      <c r="B250" s="1">
        <v>44721</v>
      </c>
      <c r="C250">
        <v>1709</v>
      </c>
      <c r="D250" t="s">
        <v>19</v>
      </c>
      <c r="E250" t="s">
        <v>20</v>
      </c>
      <c r="F250">
        <v>6</v>
      </c>
      <c r="G250">
        <v>44.99</v>
      </c>
      <c r="H250">
        <v>0.15</v>
      </c>
      <c r="I250" t="s">
        <v>14</v>
      </c>
      <c r="J250">
        <v>10</v>
      </c>
      <c r="K250">
        <v>3</v>
      </c>
      <c r="L250">
        <v>229.45</v>
      </c>
    </row>
    <row r="251" spans="1:12" x14ac:dyDescent="0.35">
      <c r="A251">
        <v>10250</v>
      </c>
      <c r="B251" s="1">
        <v>44751</v>
      </c>
      <c r="C251">
        <v>1455</v>
      </c>
      <c r="D251" t="s">
        <v>19</v>
      </c>
      <c r="E251" t="s">
        <v>17</v>
      </c>
      <c r="F251">
        <v>5</v>
      </c>
      <c r="G251">
        <v>246.47</v>
      </c>
      <c r="H251">
        <v>0.34</v>
      </c>
      <c r="I251" t="s">
        <v>18</v>
      </c>
      <c r="J251">
        <v>11</v>
      </c>
      <c r="K251">
        <v>3.7</v>
      </c>
      <c r="L251">
        <v>813.35</v>
      </c>
    </row>
    <row r="252" spans="1:12" x14ac:dyDescent="0.35">
      <c r="A252">
        <v>10251</v>
      </c>
      <c r="B252" s="1">
        <v>44782</v>
      </c>
      <c r="C252">
        <v>1410</v>
      </c>
      <c r="D252" t="s">
        <v>15</v>
      </c>
      <c r="E252" t="s">
        <v>17</v>
      </c>
      <c r="F252">
        <v>5</v>
      </c>
      <c r="G252">
        <v>125.33</v>
      </c>
      <c r="H252">
        <v>0.2</v>
      </c>
      <c r="I252" t="s">
        <v>14</v>
      </c>
      <c r="J252">
        <v>3</v>
      </c>
      <c r="K252">
        <v>3.3</v>
      </c>
      <c r="L252">
        <v>501.32</v>
      </c>
    </row>
    <row r="253" spans="1:12" x14ac:dyDescent="0.35">
      <c r="A253">
        <v>10252</v>
      </c>
      <c r="B253" s="1">
        <v>44813</v>
      </c>
      <c r="C253">
        <v>1648</v>
      </c>
      <c r="D253" t="s">
        <v>12</v>
      </c>
      <c r="E253" t="s">
        <v>21</v>
      </c>
      <c r="F253">
        <v>4</v>
      </c>
      <c r="G253">
        <v>343.56</v>
      </c>
      <c r="H253">
        <v>7.0000000000000007E-2</v>
      </c>
      <c r="I253" t="s">
        <v>16</v>
      </c>
      <c r="J253">
        <v>7</v>
      </c>
      <c r="K253">
        <v>4.7</v>
      </c>
      <c r="L253">
        <v>1278.04</v>
      </c>
    </row>
    <row r="254" spans="1:12" x14ac:dyDescent="0.35">
      <c r="A254">
        <v>10253</v>
      </c>
      <c r="B254" s="1">
        <v>44843</v>
      </c>
      <c r="C254">
        <v>1317</v>
      </c>
      <c r="D254" t="s">
        <v>19</v>
      </c>
      <c r="E254" t="s">
        <v>21</v>
      </c>
      <c r="F254">
        <v>1</v>
      </c>
      <c r="G254">
        <v>420.29</v>
      </c>
      <c r="H254">
        <v>0.1</v>
      </c>
      <c r="I254" t="s">
        <v>18</v>
      </c>
      <c r="J254">
        <v>6</v>
      </c>
      <c r="K254">
        <v>3.5</v>
      </c>
      <c r="L254">
        <v>378.26</v>
      </c>
    </row>
    <row r="255" spans="1:12" x14ac:dyDescent="0.35">
      <c r="A255">
        <v>10254</v>
      </c>
      <c r="B255" s="1">
        <v>44874</v>
      </c>
      <c r="C255">
        <v>1676</v>
      </c>
      <c r="D255" t="s">
        <v>15</v>
      </c>
      <c r="E255" t="s">
        <v>17</v>
      </c>
      <c r="F255">
        <v>5</v>
      </c>
      <c r="G255">
        <v>326.29000000000002</v>
      </c>
      <c r="H255">
        <v>0.24</v>
      </c>
      <c r="I255" t="s">
        <v>18</v>
      </c>
      <c r="J255">
        <v>3</v>
      </c>
      <c r="K255">
        <v>4.5999999999999996</v>
      </c>
      <c r="L255">
        <v>1239.9000000000001</v>
      </c>
    </row>
    <row r="256" spans="1:12" x14ac:dyDescent="0.35">
      <c r="A256">
        <v>10255</v>
      </c>
      <c r="B256" s="1">
        <v>44904</v>
      </c>
      <c r="C256">
        <v>1224</v>
      </c>
      <c r="D256" t="s">
        <v>19</v>
      </c>
      <c r="E256" t="s">
        <v>17</v>
      </c>
      <c r="F256">
        <v>2</v>
      </c>
      <c r="G256">
        <v>269.02999999999997</v>
      </c>
      <c r="H256">
        <v>0.32</v>
      </c>
      <c r="I256" t="s">
        <v>16</v>
      </c>
      <c r="J256">
        <v>8</v>
      </c>
      <c r="K256">
        <v>1</v>
      </c>
      <c r="L256">
        <v>365.88</v>
      </c>
    </row>
    <row r="257" spans="1:12" x14ac:dyDescent="0.35">
      <c r="A257">
        <v>10256</v>
      </c>
      <c r="B257" t="s">
        <v>170</v>
      </c>
      <c r="C257">
        <v>1818</v>
      </c>
      <c r="D257" t="s">
        <v>19</v>
      </c>
      <c r="E257" t="s">
        <v>21</v>
      </c>
      <c r="F257">
        <v>7</v>
      </c>
      <c r="G257">
        <v>241.59</v>
      </c>
      <c r="H257">
        <v>0.06</v>
      </c>
      <c r="I257" t="s">
        <v>18</v>
      </c>
      <c r="J257">
        <v>1</v>
      </c>
      <c r="K257">
        <v>4.5999999999999996</v>
      </c>
      <c r="L257">
        <v>1589.66</v>
      </c>
    </row>
    <row r="258" spans="1:12" x14ac:dyDescent="0.35">
      <c r="A258">
        <v>10257</v>
      </c>
      <c r="B258" t="s">
        <v>171</v>
      </c>
      <c r="C258">
        <v>1233</v>
      </c>
      <c r="D258" t="s">
        <v>29</v>
      </c>
      <c r="E258" t="s">
        <v>13</v>
      </c>
      <c r="F258">
        <v>7</v>
      </c>
      <c r="G258">
        <v>507.39</v>
      </c>
      <c r="H258">
        <v>0.03</v>
      </c>
      <c r="I258" t="s">
        <v>18</v>
      </c>
      <c r="J258">
        <v>5</v>
      </c>
      <c r="K258">
        <v>3.9</v>
      </c>
      <c r="L258">
        <v>3445.18</v>
      </c>
    </row>
    <row r="259" spans="1:12" x14ac:dyDescent="0.35">
      <c r="A259">
        <v>10258</v>
      </c>
      <c r="B259" t="s">
        <v>172</v>
      </c>
      <c r="C259">
        <v>1683</v>
      </c>
      <c r="D259" t="s">
        <v>29</v>
      </c>
      <c r="E259" t="s">
        <v>20</v>
      </c>
      <c r="F259">
        <v>2</v>
      </c>
      <c r="G259">
        <v>143.33000000000001</v>
      </c>
      <c r="H259">
        <v>0.31</v>
      </c>
      <c r="I259" t="s">
        <v>14</v>
      </c>
      <c r="J259">
        <v>8</v>
      </c>
      <c r="K259">
        <v>1.7</v>
      </c>
      <c r="L259">
        <v>197.8</v>
      </c>
    </row>
    <row r="260" spans="1:12" x14ac:dyDescent="0.35">
      <c r="A260">
        <v>10259</v>
      </c>
      <c r="B260" t="s">
        <v>173</v>
      </c>
      <c r="C260">
        <v>1663</v>
      </c>
      <c r="D260" t="s">
        <v>19</v>
      </c>
      <c r="E260" t="s">
        <v>20</v>
      </c>
      <c r="F260">
        <v>3</v>
      </c>
      <c r="G260">
        <v>444.52</v>
      </c>
      <c r="H260">
        <v>0.32</v>
      </c>
      <c r="I260" t="s">
        <v>16</v>
      </c>
      <c r="J260">
        <v>3</v>
      </c>
      <c r="K260">
        <v>2.1</v>
      </c>
      <c r="L260">
        <v>906.82</v>
      </c>
    </row>
    <row r="261" spans="1:12" x14ac:dyDescent="0.35">
      <c r="A261">
        <v>10260</v>
      </c>
      <c r="B261" t="s">
        <v>174</v>
      </c>
      <c r="C261">
        <v>1974</v>
      </c>
      <c r="D261" t="s">
        <v>15</v>
      </c>
      <c r="E261" t="s">
        <v>21</v>
      </c>
      <c r="F261">
        <v>5</v>
      </c>
      <c r="G261">
        <v>458.13</v>
      </c>
      <c r="H261">
        <v>0.1</v>
      </c>
      <c r="I261" t="s">
        <v>18</v>
      </c>
      <c r="J261">
        <v>11</v>
      </c>
      <c r="K261">
        <v>3.2</v>
      </c>
      <c r="L261">
        <v>2061.58</v>
      </c>
    </row>
    <row r="262" spans="1:12" x14ac:dyDescent="0.35">
      <c r="A262">
        <v>10261</v>
      </c>
      <c r="B262" t="s">
        <v>175</v>
      </c>
      <c r="C262">
        <v>1826</v>
      </c>
      <c r="D262" t="s">
        <v>19</v>
      </c>
      <c r="E262" t="s">
        <v>20</v>
      </c>
      <c r="F262">
        <v>5</v>
      </c>
      <c r="G262">
        <v>260.23</v>
      </c>
      <c r="H262">
        <v>0.13</v>
      </c>
      <c r="I262" t="s">
        <v>16</v>
      </c>
      <c r="J262">
        <v>10</v>
      </c>
      <c r="K262">
        <v>1.5</v>
      </c>
      <c r="L262">
        <v>1132</v>
      </c>
    </row>
    <row r="263" spans="1:12" x14ac:dyDescent="0.35">
      <c r="A263">
        <v>10262</v>
      </c>
      <c r="B263" t="s">
        <v>176</v>
      </c>
      <c r="C263">
        <v>1373</v>
      </c>
      <c r="D263" t="s">
        <v>15</v>
      </c>
      <c r="E263" t="s">
        <v>21</v>
      </c>
      <c r="F263">
        <v>5</v>
      </c>
      <c r="G263">
        <v>188.92</v>
      </c>
      <c r="H263">
        <v>0.23</v>
      </c>
      <c r="I263" t="s">
        <v>18</v>
      </c>
      <c r="J263">
        <v>11</v>
      </c>
      <c r="K263">
        <v>4.0999999999999996</v>
      </c>
      <c r="L263">
        <v>727.34</v>
      </c>
    </row>
    <row r="264" spans="1:12" x14ac:dyDescent="0.35">
      <c r="A264">
        <v>10263</v>
      </c>
      <c r="B264" t="s">
        <v>177</v>
      </c>
      <c r="C264">
        <v>1671</v>
      </c>
      <c r="D264" t="s">
        <v>29</v>
      </c>
      <c r="E264" t="s">
        <v>21</v>
      </c>
      <c r="F264">
        <v>6</v>
      </c>
      <c r="G264">
        <v>290.27</v>
      </c>
      <c r="H264">
        <v>0.12</v>
      </c>
      <c r="I264" t="s">
        <v>18</v>
      </c>
      <c r="J264">
        <v>6</v>
      </c>
      <c r="K264">
        <v>4.2</v>
      </c>
      <c r="L264">
        <v>1532.63</v>
      </c>
    </row>
    <row r="265" spans="1:12" x14ac:dyDescent="0.35">
      <c r="A265">
        <v>10264</v>
      </c>
      <c r="B265" t="s">
        <v>178</v>
      </c>
      <c r="C265">
        <v>1607</v>
      </c>
      <c r="D265" t="s">
        <v>19</v>
      </c>
      <c r="E265" t="s">
        <v>21</v>
      </c>
      <c r="F265">
        <v>5</v>
      </c>
      <c r="G265">
        <v>69.53</v>
      </c>
      <c r="H265">
        <v>0.31</v>
      </c>
      <c r="I265" t="s">
        <v>18</v>
      </c>
      <c r="J265">
        <v>10</v>
      </c>
      <c r="K265">
        <v>2.2000000000000002</v>
      </c>
      <c r="L265">
        <v>239.88</v>
      </c>
    </row>
    <row r="266" spans="1:12" x14ac:dyDescent="0.35">
      <c r="A266">
        <v>10265</v>
      </c>
      <c r="B266" t="s">
        <v>179</v>
      </c>
      <c r="C266">
        <v>1471</v>
      </c>
      <c r="D266" t="s">
        <v>19</v>
      </c>
      <c r="E266" t="s">
        <v>21</v>
      </c>
      <c r="F266">
        <v>5</v>
      </c>
      <c r="G266">
        <v>41.87</v>
      </c>
      <c r="H266">
        <v>0.04</v>
      </c>
      <c r="I266" t="s">
        <v>16</v>
      </c>
      <c r="J266">
        <v>11</v>
      </c>
      <c r="K266">
        <v>1.3</v>
      </c>
      <c r="L266">
        <v>200.98</v>
      </c>
    </row>
    <row r="267" spans="1:12" x14ac:dyDescent="0.35">
      <c r="A267">
        <v>10266</v>
      </c>
      <c r="B267" t="s">
        <v>180</v>
      </c>
      <c r="C267">
        <v>1232</v>
      </c>
      <c r="D267" t="s">
        <v>15</v>
      </c>
      <c r="E267" t="s">
        <v>13</v>
      </c>
      <c r="F267">
        <v>2</v>
      </c>
      <c r="G267">
        <v>80.290000000000006</v>
      </c>
      <c r="H267">
        <v>0.01</v>
      </c>
      <c r="I267" t="s">
        <v>16</v>
      </c>
      <c r="J267">
        <v>2</v>
      </c>
      <c r="K267">
        <v>5</v>
      </c>
      <c r="L267">
        <v>158.97</v>
      </c>
    </row>
    <row r="268" spans="1:12" x14ac:dyDescent="0.35">
      <c r="A268">
        <v>10267</v>
      </c>
      <c r="B268" t="s">
        <v>181</v>
      </c>
      <c r="C268">
        <v>1691</v>
      </c>
      <c r="D268" t="s">
        <v>12</v>
      </c>
      <c r="E268" t="s">
        <v>17</v>
      </c>
      <c r="F268">
        <v>1</v>
      </c>
      <c r="G268">
        <v>124.48</v>
      </c>
      <c r="H268">
        <v>7.0000000000000007E-2</v>
      </c>
      <c r="I268" t="s">
        <v>16</v>
      </c>
      <c r="J268">
        <v>9</v>
      </c>
      <c r="K268">
        <v>2</v>
      </c>
      <c r="L268">
        <v>115.77</v>
      </c>
    </row>
    <row r="269" spans="1:12" x14ac:dyDescent="0.35">
      <c r="A269">
        <v>10268</v>
      </c>
      <c r="B269" t="s">
        <v>182</v>
      </c>
      <c r="C269">
        <v>1112</v>
      </c>
      <c r="D269" t="s">
        <v>12</v>
      </c>
      <c r="E269" t="s">
        <v>17</v>
      </c>
      <c r="F269">
        <v>1</v>
      </c>
      <c r="G269">
        <v>309.94</v>
      </c>
      <c r="H269">
        <v>0.1</v>
      </c>
      <c r="I269" t="s">
        <v>16</v>
      </c>
      <c r="J269">
        <v>2</v>
      </c>
      <c r="K269">
        <v>1.3</v>
      </c>
      <c r="L269">
        <v>278.95</v>
      </c>
    </row>
    <row r="270" spans="1:12" x14ac:dyDescent="0.35">
      <c r="A270">
        <v>10269</v>
      </c>
      <c r="B270" t="s">
        <v>183</v>
      </c>
      <c r="C270">
        <v>1829</v>
      </c>
      <c r="D270" t="s">
        <v>19</v>
      </c>
      <c r="E270" t="s">
        <v>13</v>
      </c>
      <c r="F270">
        <v>3</v>
      </c>
      <c r="G270">
        <v>511.74</v>
      </c>
      <c r="H270">
        <v>0.04</v>
      </c>
      <c r="I270" t="s">
        <v>18</v>
      </c>
      <c r="J270">
        <v>5</v>
      </c>
      <c r="K270">
        <v>2.2999999999999998</v>
      </c>
      <c r="L270">
        <v>1473.81</v>
      </c>
    </row>
    <row r="271" spans="1:12" x14ac:dyDescent="0.35">
      <c r="A271">
        <v>10270</v>
      </c>
      <c r="B271" t="s">
        <v>184</v>
      </c>
      <c r="C271">
        <v>1496</v>
      </c>
      <c r="D271" t="s">
        <v>29</v>
      </c>
      <c r="E271" t="s">
        <v>20</v>
      </c>
      <c r="F271">
        <v>2</v>
      </c>
      <c r="G271">
        <v>152.85</v>
      </c>
      <c r="H271">
        <v>0.02</v>
      </c>
      <c r="I271" t="s">
        <v>14</v>
      </c>
      <c r="J271">
        <v>3</v>
      </c>
      <c r="K271">
        <v>4.9000000000000004</v>
      </c>
      <c r="L271">
        <v>299.58999999999997</v>
      </c>
    </row>
    <row r="272" spans="1:12" x14ac:dyDescent="0.35">
      <c r="A272">
        <v>10271</v>
      </c>
      <c r="B272" t="s">
        <v>185</v>
      </c>
      <c r="C272">
        <v>1441</v>
      </c>
      <c r="D272" t="s">
        <v>15</v>
      </c>
      <c r="E272" t="s">
        <v>20</v>
      </c>
      <c r="F272">
        <v>5</v>
      </c>
      <c r="G272">
        <v>562.07000000000005</v>
      </c>
      <c r="H272">
        <v>0.26</v>
      </c>
      <c r="I272" t="s">
        <v>16</v>
      </c>
      <c r="J272">
        <v>10</v>
      </c>
      <c r="K272">
        <v>4.2</v>
      </c>
      <c r="L272">
        <v>2079.66</v>
      </c>
    </row>
    <row r="273" spans="1:12" x14ac:dyDescent="0.35">
      <c r="A273">
        <v>10272</v>
      </c>
      <c r="B273" t="s">
        <v>186</v>
      </c>
      <c r="C273">
        <v>1563</v>
      </c>
      <c r="D273" t="s">
        <v>15</v>
      </c>
      <c r="E273" t="s">
        <v>17</v>
      </c>
      <c r="F273">
        <v>1</v>
      </c>
      <c r="G273">
        <v>573.62</v>
      </c>
      <c r="H273">
        <v>0.06</v>
      </c>
      <c r="I273" t="s">
        <v>16</v>
      </c>
      <c r="J273">
        <v>9</v>
      </c>
      <c r="K273">
        <v>2.9</v>
      </c>
      <c r="L273">
        <v>539.20000000000005</v>
      </c>
    </row>
    <row r="274" spans="1:12" x14ac:dyDescent="0.35">
      <c r="A274">
        <v>10273</v>
      </c>
      <c r="B274" t="s">
        <v>187</v>
      </c>
      <c r="C274">
        <v>1267</v>
      </c>
      <c r="D274" t="s">
        <v>29</v>
      </c>
      <c r="E274" t="s">
        <v>20</v>
      </c>
      <c r="F274">
        <v>4</v>
      </c>
      <c r="G274">
        <v>575.96</v>
      </c>
      <c r="H274">
        <v>0.32</v>
      </c>
      <c r="I274" t="s">
        <v>18</v>
      </c>
      <c r="J274">
        <v>9</v>
      </c>
      <c r="K274">
        <v>2.2000000000000002</v>
      </c>
      <c r="L274">
        <v>1566.61</v>
      </c>
    </row>
    <row r="275" spans="1:12" x14ac:dyDescent="0.35">
      <c r="A275">
        <v>10274</v>
      </c>
      <c r="B275" s="1">
        <v>44571</v>
      </c>
      <c r="C275">
        <v>1509</v>
      </c>
      <c r="D275" t="s">
        <v>12</v>
      </c>
      <c r="E275" t="s">
        <v>17</v>
      </c>
      <c r="F275">
        <v>4</v>
      </c>
      <c r="G275">
        <v>504.97</v>
      </c>
      <c r="H275">
        <v>0.13</v>
      </c>
      <c r="I275" t="s">
        <v>18</v>
      </c>
      <c r="J275">
        <v>7</v>
      </c>
      <c r="K275">
        <v>2.7</v>
      </c>
      <c r="L275">
        <v>1757.3</v>
      </c>
    </row>
    <row r="276" spans="1:12" x14ac:dyDescent="0.35">
      <c r="A276">
        <v>10275</v>
      </c>
      <c r="B276" s="1">
        <v>44602</v>
      </c>
      <c r="C276">
        <v>1806</v>
      </c>
      <c r="D276" t="s">
        <v>12</v>
      </c>
      <c r="E276" t="s">
        <v>17</v>
      </c>
      <c r="F276">
        <v>4</v>
      </c>
      <c r="G276">
        <v>227.84</v>
      </c>
      <c r="H276">
        <v>0.23</v>
      </c>
      <c r="I276" t="s">
        <v>16</v>
      </c>
      <c r="J276">
        <v>10</v>
      </c>
      <c r="K276">
        <v>1.1000000000000001</v>
      </c>
      <c r="L276">
        <v>701.75</v>
      </c>
    </row>
    <row r="277" spans="1:12" x14ac:dyDescent="0.35">
      <c r="A277">
        <v>10276</v>
      </c>
      <c r="B277" s="1">
        <v>44630</v>
      </c>
      <c r="C277">
        <v>1385</v>
      </c>
      <c r="D277" t="s">
        <v>15</v>
      </c>
      <c r="E277" t="s">
        <v>13</v>
      </c>
      <c r="F277">
        <v>5</v>
      </c>
      <c r="G277">
        <v>57.52</v>
      </c>
      <c r="H277">
        <v>0.08</v>
      </c>
      <c r="I277" t="s">
        <v>16</v>
      </c>
      <c r="J277">
        <v>5</v>
      </c>
      <c r="K277">
        <v>3.9</v>
      </c>
      <c r="L277">
        <v>264.58999999999997</v>
      </c>
    </row>
    <row r="278" spans="1:12" x14ac:dyDescent="0.35">
      <c r="A278">
        <v>10277</v>
      </c>
      <c r="B278" s="1">
        <v>44661</v>
      </c>
      <c r="C278">
        <v>1386</v>
      </c>
      <c r="D278" t="s">
        <v>15</v>
      </c>
      <c r="E278" t="s">
        <v>20</v>
      </c>
      <c r="F278">
        <v>5</v>
      </c>
      <c r="G278">
        <v>347.76</v>
      </c>
      <c r="H278">
        <v>0.08</v>
      </c>
      <c r="I278" t="s">
        <v>16</v>
      </c>
      <c r="J278">
        <v>9</v>
      </c>
      <c r="K278">
        <v>1.4</v>
      </c>
      <c r="L278">
        <v>1599.7</v>
      </c>
    </row>
    <row r="279" spans="1:12" x14ac:dyDescent="0.35">
      <c r="A279">
        <v>10278</v>
      </c>
      <c r="B279" s="1">
        <v>44691</v>
      </c>
      <c r="C279">
        <v>1112</v>
      </c>
      <c r="D279" t="s">
        <v>29</v>
      </c>
      <c r="E279" t="s">
        <v>13</v>
      </c>
      <c r="F279">
        <v>3</v>
      </c>
      <c r="G279">
        <v>341.83</v>
      </c>
      <c r="H279">
        <v>0.2</v>
      </c>
      <c r="I279" t="s">
        <v>16</v>
      </c>
      <c r="J279">
        <v>7</v>
      </c>
      <c r="K279">
        <v>3.1</v>
      </c>
      <c r="L279">
        <v>820.39</v>
      </c>
    </row>
    <row r="280" spans="1:12" x14ac:dyDescent="0.35">
      <c r="A280">
        <v>10279</v>
      </c>
      <c r="B280" s="1">
        <v>44722</v>
      </c>
      <c r="C280">
        <v>1612</v>
      </c>
      <c r="D280" t="s">
        <v>19</v>
      </c>
      <c r="E280" t="s">
        <v>17</v>
      </c>
      <c r="F280">
        <v>7</v>
      </c>
      <c r="G280">
        <v>512.24</v>
      </c>
      <c r="H280">
        <v>0.2</v>
      </c>
      <c r="I280" t="s">
        <v>16</v>
      </c>
      <c r="J280">
        <v>2</v>
      </c>
      <c r="K280">
        <v>3.3</v>
      </c>
      <c r="L280">
        <v>2868.54</v>
      </c>
    </row>
    <row r="281" spans="1:12" x14ac:dyDescent="0.35">
      <c r="A281">
        <v>10280</v>
      </c>
      <c r="B281" s="1">
        <v>44752</v>
      </c>
      <c r="C281">
        <v>1624</v>
      </c>
      <c r="D281" t="s">
        <v>15</v>
      </c>
      <c r="E281" t="s">
        <v>17</v>
      </c>
      <c r="F281">
        <v>3</v>
      </c>
      <c r="G281">
        <v>597.65</v>
      </c>
      <c r="H281">
        <v>0.27</v>
      </c>
      <c r="I281" t="s">
        <v>16</v>
      </c>
      <c r="J281">
        <v>10</v>
      </c>
      <c r="K281">
        <v>1</v>
      </c>
      <c r="L281">
        <v>1308.8499999999999</v>
      </c>
    </row>
    <row r="282" spans="1:12" x14ac:dyDescent="0.35">
      <c r="A282">
        <v>10281</v>
      </c>
      <c r="B282" s="1">
        <v>44783</v>
      </c>
      <c r="C282">
        <v>1951</v>
      </c>
      <c r="D282" t="s">
        <v>15</v>
      </c>
      <c r="E282" t="s">
        <v>17</v>
      </c>
      <c r="F282">
        <v>3</v>
      </c>
      <c r="G282">
        <v>312.27</v>
      </c>
      <c r="H282">
        <v>0.27</v>
      </c>
      <c r="I282" t="s">
        <v>18</v>
      </c>
      <c r="J282">
        <v>1</v>
      </c>
      <c r="K282">
        <v>4.9000000000000004</v>
      </c>
      <c r="L282">
        <v>683.87</v>
      </c>
    </row>
    <row r="283" spans="1:12" x14ac:dyDescent="0.35">
      <c r="A283">
        <v>10282</v>
      </c>
      <c r="B283" s="1">
        <v>44814</v>
      </c>
      <c r="C283">
        <v>1080</v>
      </c>
      <c r="D283" t="s">
        <v>29</v>
      </c>
      <c r="E283" t="s">
        <v>21</v>
      </c>
      <c r="F283">
        <v>6</v>
      </c>
      <c r="G283">
        <v>216.94</v>
      </c>
      <c r="H283">
        <v>0.23</v>
      </c>
      <c r="I283" t="s">
        <v>18</v>
      </c>
      <c r="J283">
        <v>10</v>
      </c>
      <c r="K283">
        <v>2.2000000000000002</v>
      </c>
      <c r="L283">
        <v>1002.26</v>
      </c>
    </row>
    <row r="284" spans="1:12" x14ac:dyDescent="0.35">
      <c r="A284">
        <v>10283</v>
      </c>
      <c r="B284" s="1">
        <v>44844</v>
      </c>
      <c r="C284">
        <v>1698</v>
      </c>
      <c r="D284" t="s">
        <v>19</v>
      </c>
      <c r="E284" t="s">
        <v>21</v>
      </c>
      <c r="F284">
        <v>4</v>
      </c>
      <c r="G284">
        <v>123.75</v>
      </c>
      <c r="H284">
        <v>0.16</v>
      </c>
      <c r="I284" t="s">
        <v>16</v>
      </c>
      <c r="J284">
        <v>10</v>
      </c>
      <c r="K284">
        <v>1.3</v>
      </c>
      <c r="L284">
        <v>415.8</v>
      </c>
    </row>
    <row r="285" spans="1:12" x14ac:dyDescent="0.35">
      <c r="A285">
        <v>10284</v>
      </c>
      <c r="B285" s="1">
        <v>44875</v>
      </c>
      <c r="C285">
        <v>1112</v>
      </c>
      <c r="D285" t="s">
        <v>19</v>
      </c>
      <c r="E285" t="s">
        <v>21</v>
      </c>
      <c r="F285">
        <v>5</v>
      </c>
      <c r="G285">
        <v>17.809999999999999</v>
      </c>
      <c r="H285">
        <v>0.31</v>
      </c>
      <c r="I285" t="s">
        <v>18</v>
      </c>
      <c r="J285">
        <v>4</v>
      </c>
      <c r="K285">
        <v>4.4000000000000004</v>
      </c>
      <c r="L285">
        <v>61.44</v>
      </c>
    </row>
    <row r="286" spans="1:12" x14ac:dyDescent="0.35">
      <c r="A286">
        <v>10285</v>
      </c>
      <c r="B286" s="1">
        <v>44905</v>
      </c>
      <c r="C286">
        <v>1001</v>
      </c>
      <c r="D286" t="s">
        <v>12</v>
      </c>
      <c r="E286" t="s">
        <v>13</v>
      </c>
      <c r="F286">
        <v>4</v>
      </c>
      <c r="G286">
        <v>312.83</v>
      </c>
      <c r="H286">
        <v>0.22</v>
      </c>
      <c r="I286" t="s">
        <v>18</v>
      </c>
      <c r="J286">
        <v>10</v>
      </c>
      <c r="K286">
        <v>1.6</v>
      </c>
      <c r="L286">
        <v>976.03</v>
      </c>
    </row>
    <row r="287" spans="1:12" x14ac:dyDescent="0.35">
      <c r="A287">
        <v>10286</v>
      </c>
      <c r="B287" t="s">
        <v>188</v>
      </c>
      <c r="C287">
        <v>1641</v>
      </c>
      <c r="D287" t="s">
        <v>19</v>
      </c>
      <c r="E287" t="s">
        <v>17</v>
      </c>
      <c r="F287">
        <v>3</v>
      </c>
      <c r="G287">
        <v>339.98</v>
      </c>
      <c r="H287">
        <v>0.35</v>
      </c>
      <c r="I287" t="s">
        <v>14</v>
      </c>
      <c r="J287">
        <v>8</v>
      </c>
      <c r="K287">
        <v>1.1000000000000001</v>
      </c>
      <c r="L287">
        <v>662.96</v>
      </c>
    </row>
    <row r="288" spans="1:12" x14ac:dyDescent="0.35">
      <c r="A288">
        <v>10287</v>
      </c>
      <c r="B288" t="s">
        <v>189</v>
      </c>
      <c r="C288">
        <v>1219</v>
      </c>
      <c r="D288" t="s">
        <v>15</v>
      </c>
      <c r="E288" t="s">
        <v>20</v>
      </c>
      <c r="F288">
        <v>5</v>
      </c>
      <c r="G288">
        <v>497.59</v>
      </c>
      <c r="H288">
        <v>0.28999999999999998</v>
      </c>
      <c r="I288" t="s">
        <v>16</v>
      </c>
      <c r="J288">
        <v>6</v>
      </c>
      <c r="K288">
        <v>3</v>
      </c>
      <c r="L288">
        <v>1766.44</v>
      </c>
    </row>
    <row r="289" spans="1:12" x14ac:dyDescent="0.35">
      <c r="A289">
        <v>10288</v>
      </c>
      <c r="B289" t="s">
        <v>190</v>
      </c>
      <c r="C289">
        <v>1565</v>
      </c>
      <c r="D289" t="s">
        <v>19</v>
      </c>
      <c r="E289" t="s">
        <v>13</v>
      </c>
      <c r="F289">
        <v>2</v>
      </c>
      <c r="G289">
        <v>310.18</v>
      </c>
      <c r="H289">
        <v>0.02</v>
      </c>
      <c r="I289" t="s">
        <v>18</v>
      </c>
      <c r="J289">
        <v>2</v>
      </c>
      <c r="K289">
        <v>1.5</v>
      </c>
      <c r="L289">
        <v>607.95000000000005</v>
      </c>
    </row>
    <row r="290" spans="1:12" x14ac:dyDescent="0.35">
      <c r="A290">
        <v>10289</v>
      </c>
      <c r="B290" t="s">
        <v>191</v>
      </c>
      <c r="C290">
        <v>1854</v>
      </c>
      <c r="D290" t="s">
        <v>19</v>
      </c>
      <c r="E290" t="s">
        <v>13</v>
      </c>
      <c r="F290">
        <v>1</v>
      </c>
      <c r="G290">
        <v>551.13</v>
      </c>
      <c r="H290">
        <v>0.11</v>
      </c>
      <c r="I290" t="s">
        <v>18</v>
      </c>
      <c r="J290">
        <v>5</v>
      </c>
      <c r="K290">
        <v>4.9000000000000004</v>
      </c>
      <c r="L290">
        <v>490.51</v>
      </c>
    </row>
    <row r="291" spans="1:12" x14ac:dyDescent="0.35">
      <c r="A291">
        <v>10290</v>
      </c>
      <c r="B291" t="s">
        <v>192</v>
      </c>
      <c r="C291">
        <v>1996</v>
      </c>
      <c r="D291" t="s">
        <v>19</v>
      </c>
      <c r="E291" t="s">
        <v>13</v>
      </c>
      <c r="F291">
        <v>1</v>
      </c>
      <c r="G291">
        <v>382.43</v>
      </c>
      <c r="H291">
        <v>0.2</v>
      </c>
      <c r="I291" t="s">
        <v>16</v>
      </c>
      <c r="J291">
        <v>9</v>
      </c>
      <c r="K291">
        <v>1</v>
      </c>
      <c r="L291">
        <v>305.94</v>
      </c>
    </row>
    <row r="292" spans="1:12" x14ac:dyDescent="0.35">
      <c r="A292">
        <v>10291</v>
      </c>
      <c r="B292" t="s">
        <v>193</v>
      </c>
      <c r="C292">
        <v>1735</v>
      </c>
      <c r="D292" t="s">
        <v>19</v>
      </c>
      <c r="E292" t="s">
        <v>20</v>
      </c>
      <c r="F292">
        <v>3</v>
      </c>
      <c r="G292">
        <v>506.6</v>
      </c>
      <c r="H292">
        <v>0.25</v>
      </c>
      <c r="I292" t="s">
        <v>14</v>
      </c>
      <c r="J292">
        <v>6</v>
      </c>
      <c r="K292">
        <v>1.2</v>
      </c>
      <c r="L292">
        <v>1139.8499999999999</v>
      </c>
    </row>
    <row r="293" spans="1:12" x14ac:dyDescent="0.35">
      <c r="A293">
        <v>10292</v>
      </c>
      <c r="B293" t="s">
        <v>194</v>
      </c>
      <c r="C293">
        <v>1224</v>
      </c>
      <c r="D293" t="s">
        <v>12</v>
      </c>
      <c r="E293" t="s">
        <v>17</v>
      </c>
      <c r="F293">
        <v>7</v>
      </c>
      <c r="G293">
        <v>101.76</v>
      </c>
      <c r="H293">
        <v>0.19</v>
      </c>
      <c r="I293" t="s">
        <v>18</v>
      </c>
      <c r="J293">
        <v>6</v>
      </c>
      <c r="K293">
        <v>4.3</v>
      </c>
      <c r="L293">
        <v>576.98</v>
      </c>
    </row>
    <row r="294" spans="1:12" x14ac:dyDescent="0.35">
      <c r="A294">
        <v>10293</v>
      </c>
      <c r="B294" t="s">
        <v>195</v>
      </c>
      <c r="C294">
        <v>1384</v>
      </c>
      <c r="D294" t="s">
        <v>19</v>
      </c>
      <c r="E294" t="s">
        <v>21</v>
      </c>
      <c r="F294">
        <v>4</v>
      </c>
      <c r="G294">
        <v>515.37</v>
      </c>
      <c r="H294">
        <v>0.28000000000000003</v>
      </c>
      <c r="I294" t="s">
        <v>18</v>
      </c>
      <c r="J294">
        <v>7</v>
      </c>
      <c r="K294">
        <v>2</v>
      </c>
      <c r="L294">
        <v>1484.27</v>
      </c>
    </row>
    <row r="295" spans="1:12" x14ac:dyDescent="0.35">
      <c r="A295">
        <v>10294</v>
      </c>
      <c r="B295" t="s">
        <v>196</v>
      </c>
      <c r="C295">
        <v>1402</v>
      </c>
      <c r="D295" t="s">
        <v>12</v>
      </c>
      <c r="E295" t="s">
        <v>17</v>
      </c>
      <c r="F295">
        <v>2</v>
      </c>
      <c r="G295">
        <v>409.96</v>
      </c>
      <c r="H295">
        <v>0.1</v>
      </c>
      <c r="I295" t="s">
        <v>16</v>
      </c>
      <c r="J295">
        <v>11</v>
      </c>
      <c r="K295">
        <v>4.5999999999999996</v>
      </c>
      <c r="L295">
        <v>737.93</v>
      </c>
    </row>
    <row r="296" spans="1:12" x14ac:dyDescent="0.35">
      <c r="A296">
        <v>10295</v>
      </c>
      <c r="B296" t="s">
        <v>197</v>
      </c>
      <c r="C296">
        <v>1637</v>
      </c>
      <c r="D296" t="s">
        <v>15</v>
      </c>
      <c r="E296" t="s">
        <v>17</v>
      </c>
      <c r="F296">
        <v>5</v>
      </c>
      <c r="G296">
        <v>114.59</v>
      </c>
      <c r="H296">
        <v>0.06</v>
      </c>
      <c r="I296" t="s">
        <v>16</v>
      </c>
      <c r="J296">
        <v>5</v>
      </c>
      <c r="K296">
        <v>2.2000000000000002</v>
      </c>
      <c r="L296">
        <v>538.57000000000005</v>
      </c>
    </row>
    <row r="297" spans="1:12" x14ac:dyDescent="0.35">
      <c r="A297">
        <v>10296</v>
      </c>
      <c r="B297" t="s">
        <v>198</v>
      </c>
      <c r="C297">
        <v>1129</v>
      </c>
      <c r="D297" t="s">
        <v>15</v>
      </c>
      <c r="E297" t="s">
        <v>13</v>
      </c>
      <c r="F297">
        <v>7</v>
      </c>
      <c r="G297">
        <v>126.01</v>
      </c>
      <c r="H297">
        <v>0.02</v>
      </c>
      <c r="I297" t="s">
        <v>18</v>
      </c>
      <c r="J297">
        <v>3</v>
      </c>
      <c r="K297">
        <v>1.3</v>
      </c>
      <c r="L297">
        <v>864.43</v>
      </c>
    </row>
    <row r="298" spans="1:12" x14ac:dyDescent="0.35">
      <c r="A298">
        <v>10297</v>
      </c>
      <c r="B298" t="s">
        <v>199</v>
      </c>
      <c r="C298">
        <v>1052</v>
      </c>
      <c r="D298" t="s">
        <v>15</v>
      </c>
      <c r="E298" t="s">
        <v>13</v>
      </c>
      <c r="F298">
        <v>4</v>
      </c>
      <c r="G298">
        <v>557</v>
      </c>
      <c r="H298">
        <v>0.2</v>
      </c>
      <c r="I298" t="s">
        <v>16</v>
      </c>
      <c r="J298">
        <v>3</v>
      </c>
      <c r="K298">
        <v>1</v>
      </c>
      <c r="L298">
        <v>1782.4</v>
      </c>
    </row>
    <row r="299" spans="1:12" x14ac:dyDescent="0.35">
      <c r="A299">
        <v>10298</v>
      </c>
      <c r="B299" t="s">
        <v>200</v>
      </c>
      <c r="C299">
        <v>1683</v>
      </c>
      <c r="D299" t="s">
        <v>15</v>
      </c>
      <c r="E299" t="s">
        <v>13</v>
      </c>
      <c r="F299">
        <v>3</v>
      </c>
      <c r="G299">
        <v>33.85</v>
      </c>
      <c r="H299">
        <v>0.24</v>
      </c>
      <c r="I299" t="s">
        <v>18</v>
      </c>
      <c r="J299">
        <v>5</v>
      </c>
      <c r="K299">
        <v>2.1</v>
      </c>
      <c r="L299">
        <v>77.180000000000007</v>
      </c>
    </row>
    <row r="300" spans="1:12" x14ac:dyDescent="0.35">
      <c r="A300">
        <v>10299</v>
      </c>
      <c r="B300" t="s">
        <v>201</v>
      </c>
      <c r="C300">
        <v>1729</v>
      </c>
      <c r="D300" t="s">
        <v>29</v>
      </c>
      <c r="E300" t="s">
        <v>21</v>
      </c>
      <c r="F300">
        <v>4</v>
      </c>
      <c r="G300">
        <v>285.58</v>
      </c>
      <c r="H300">
        <v>0.11</v>
      </c>
      <c r="I300" t="s">
        <v>16</v>
      </c>
      <c r="J300">
        <v>4</v>
      </c>
      <c r="K300">
        <v>2.9</v>
      </c>
      <c r="L300">
        <v>1016.66</v>
      </c>
    </row>
    <row r="301" spans="1:12" x14ac:dyDescent="0.35">
      <c r="A301">
        <v>10300</v>
      </c>
      <c r="B301" t="s">
        <v>202</v>
      </c>
      <c r="C301">
        <v>1671</v>
      </c>
      <c r="D301" t="s">
        <v>19</v>
      </c>
      <c r="E301" t="s">
        <v>21</v>
      </c>
      <c r="F301">
        <v>3</v>
      </c>
      <c r="G301">
        <v>198.38</v>
      </c>
      <c r="H301">
        <v>0.21</v>
      </c>
      <c r="I301" t="s">
        <v>18</v>
      </c>
      <c r="J301">
        <v>5</v>
      </c>
      <c r="K301">
        <v>1</v>
      </c>
      <c r="L301">
        <v>470.16</v>
      </c>
    </row>
    <row r="302" spans="1:12" x14ac:dyDescent="0.35">
      <c r="A302">
        <v>10301</v>
      </c>
      <c r="B302" t="s">
        <v>203</v>
      </c>
      <c r="C302">
        <v>1709</v>
      </c>
      <c r="D302" t="s">
        <v>15</v>
      </c>
      <c r="E302" t="s">
        <v>21</v>
      </c>
      <c r="F302">
        <v>6</v>
      </c>
      <c r="G302">
        <v>404.07</v>
      </c>
      <c r="H302">
        <v>0.02</v>
      </c>
      <c r="I302" t="s">
        <v>18</v>
      </c>
      <c r="J302">
        <v>9</v>
      </c>
      <c r="K302">
        <v>3.3</v>
      </c>
      <c r="L302">
        <v>2375.9299999999998</v>
      </c>
    </row>
    <row r="303" spans="1:12" x14ac:dyDescent="0.35">
      <c r="A303">
        <v>10302</v>
      </c>
      <c r="B303" t="s">
        <v>204</v>
      </c>
      <c r="C303">
        <v>1415</v>
      </c>
      <c r="D303" t="s">
        <v>12</v>
      </c>
      <c r="E303" t="s">
        <v>17</v>
      </c>
      <c r="F303">
        <v>1</v>
      </c>
      <c r="G303">
        <v>506.18</v>
      </c>
      <c r="H303">
        <v>0.03</v>
      </c>
      <c r="I303" t="s">
        <v>16</v>
      </c>
      <c r="J303">
        <v>5</v>
      </c>
      <c r="K303">
        <v>2.2999999999999998</v>
      </c>
      <c r="L303">
        <v>490.99</v>
      </c>
    </row>
    <row r="304" spans="1:12" x14ac:dyDescent="0.35">
      <c r="A304">
        <v>10303</v>
      </c>
      <c r="B304" t="s">
        <v>205</v>
      </c>
      <c r="C304">
        <v>1246</v>
      </c>
      <c r="D304" t="s">
        <v>12</v>
      </c>
      <c r="E304" t="s">
        <v>13</v>
      </c>
      <c r="F304">
        <v>7</v>
      </c>
      <c r="G304">
        <v>225.82</v>
      </c>
      <c r="H304">
        <v>0.25</v>
      </c>
      <c r="I304" t="s">
        <v>18</v>
      </c>
      <c r="J304">
        <v>4</v>
      </c>
      <c r="K304">
        <v>2.6</v>
      </c>
      <c r="L304">
        <v>1185.56</v>
      </c>
    </row>
    <row r="305" spans="1:12" x14ac:dyDescent="0.35">
      <c r="A305">
        <v>10304</v>
      </c>
      <c r="B305" t="s">
        <v>206</v>
      </c>
      <c r="C305">
        <v>1835</v>
      </c>
      <c r="D305" t="s">
        <v>12</v>
      </c>
      <c r="E305" t="s">
        <v>20</v>
      </c>
      <c r="F305">
        <v>1</v>
      </c>
      <c r="G305">
        <v>264.74</v>
      </c>
      <c r="H305">
        <v>0.13</v>
      </c>
      <c r="I305" t="s">
        <v>16</v>
      </c>
      <c r="J305">
        <v>4</v>
      </c>
      <c r="K305">
        <v>2</v>
      </c>
      <c r="L305">
        <v>230.32</v>
      </c>
    </row>
    <row r="306" spans="1:12" x14ac:dyDescent="0.35">
      <c r="A306">
        <v>10305</v>
      </c>
      <c r="B306" s="1">
        <v>44572</v>
      </c>
      <c r="C306">
        <v>1438</v>
      </c>
      <c r="D306" t="s">
        <v>15</v>
      </c>
      <c r="E306" t="s">
        <v>17</v>
      </c>
      <c r="F306">
        <v>4</v>
      </c>
      <c r="G306">
        <v>589.41999999999996</v>
      </c>
      <c r="H306">
        <v>0.23</v>
      </c>
      <c r="I306" t="s">
        <v>16</v>
      </c>
      <c r="J306">
        <v>1</v>
      </c>
      <c r="K306">
        <v>3.1</v>
      </c>
      <c r="L306">
        <v>1815.41</v>
      </c>
    </row>
    <row r="307" spans="1:12" x14ac:dyDescent="0.35">
      <c r="A307">
        <v>10306</v>
      </c>
      <c r="B307" s="1">
        <v>44603</v>
      </c>
      <c r="C307">
        <v>1202</v>
      </c>
      <c r="D307" t="s">
        <v>29</v>
      </c>
      <c r="E307" t="s">
        <v>21</v>
      </c>
      <c r="F307">
        <v>2</v>
      </c>
      <c r="G307">
        <v>473.59</v>
      </c>
      <c r="H307">
        <v>0.28999999999999998</v>
      </c>
      <c r="I307" t="s">
        <v>16</v>
      </c>
      <c r="J307">
        <v>10</v>
      </c>
      <c r="K307">
        <v>1.9</v>
      </c>
      <c r="L307">
        <v>672.5</v>
      </c>
    </row>
    <row r="308" spans="1:12" x14ac:dyDescent="0.35">
      <c r="A308">
        <v>10307</v>
      </c>
      <c r="B308" s="1">
        <v>44631</v>
      </c>
      <c r="C308">
        <v>1183</v>
      </c>
      <c r="D308" t="s">
        <v>15</v>
      </c>
      <c r="E308" t="s">
        <v>20</v>
      </c>
      <c r="F308">
        <v>5</v>
      </c>
      <c r="G308">
        <v>539.86</v>
      </c>
      <c r="H308">
        <v>0.3</v>
      </c>
      <c r="I308" t="s">
        <v>16</v>
      </c>
      <c r="J308">
        <v>4</v>
      </c>
      <c r="K308">
        <v>1.5</v>
      </c>
      <c r="L308">
        <v>1889.51</v>
      </c>
    </row>
    <row r="309" spans="1:12" x14ac:dyDescent="0.35">
      <c r="A309">
        <v>10308</v>
      </c>
      <c r="B309" s="1">
        <v>44662</v>
      </c>
      <c r="C309">
        <v>1122</v>
      </c>
      <c r="D309" t="s">
        <v>15</v>
      </c>
      <c r="E309" t="s">
        <v>20</v>
      </c>
      <c r="F309">
        <v>3</v>
      </c>
      <c r="G309">
        <v>271.68</v>
      </c>
      <c r="H309">
        <v>0.06</v>
      </c>
      <c r="I309" t="s">
        <v>16</v>
      </c>
      <c r="J309">
        <v>4</v>
      </c>
      <c r="K309">
        <v>4.5999999999999996</v>
      </c>
      <c r="L309">
        <v>766.14</v>
      </c>
    </row>
    <row r="310" spans="1:12" x14ac:dyDescent="0.35">
      <c r="A310">
        <v>10309</v>
      </c>
      <c r="B310" s="1">
        <v>44692</v>
      </c>
      <c r="C310">
        <v>1400</v>
      </c>
      <c r="D310" t="s">
        <v>19</v>
      </c>
      <c r="E310" t="s">
        <v>13</v>
      </c>
      <c r="F310">
        <v>5</v>
      </c>
      <c r="G310">
        <v>151.93</v>
      </c>
      <c r="H310">
        <v>0.17</v>
      </c>
      <c r="I310" t="s">
        <v>14</v>
      </c>
      <c r="J310">
        <v>9</v>
      </c>
      <c r="K310">
        <v>2.6</v>
      </c>
      <c r="L310">
        <v>630.51</v>
      </c>
    </row>
    <row r="311" spans="1:12" x14ac:dyDescent="0.35">
      <c r="A311">
        <v>10310</v>
      </c>
      <c r="B311" s="1">
        <v>44723</v>
      </c>
      <c r="C311">
        <v>1766</v>
      </c>
      <c r="D311" t="s">
        <v>15</v>
      </c>
      <c r="E311" t="s">
        <v>20</v>
      </c>
      <c r="F311">
        <v>1</v>
      </c>
      <c r="G311">
        <v>255.94</v>
      </c>
      <c r="H311">
        <v>0.26</v>
      </c>
      <c r="I311" t="s">
        <v>16</v>
      </c>
      <c r="J311">
        <v>11</v>
      </c>
      <c r="K311">
        <v>1.3</v>
      </c>
      <c r="L311">
        <v>189.4</v>
      </c>
    </row>
    <row r="312" spans="1:12" x14ac:dyDescent="0.35">
      <c r="A312">
        <v>10311</v>
      </c>
      <c r="B312" s="1">
        <v>44753</v>
      </c>
      <c r="C312">
        <v>1293</v>
      </c>
      <c r="D312" t="s">
        <v>19</v>
      </c>
      <c r="E312" t="s">
        <v>21</v>
      </c>
      <c r="F312">
        <v>2</v>
      </c>
      <c r="G312">
        <v>433.91</v>
      </c>
      <c r="H312">
        <v>0.27</v>
      </c>
      <c r="I312" t="s">
        <v>16</v>
      </c>
      <c r="J312">
        <v>4</v>
      </c>
      <c r="K312">
        <v>1.9</v>
      </c>
      <c r="L312">
        <v>633.51</v>
      </c>
    </row>
    <row r="313" spans="1:12" x14ac:dyDescent="0.35">
      <c r="A313">
        <v>10312</v>
      </c>
      <c r="B313" s="1">
        <v>44784</v>
      </c>
      <c r="C313">
        <v>1279</v>
      </c>
      <c r="D313" t="s">
        <v>19</v>
      </c>
      <c r="E313" t="s">
        <v>13</v>
      </c>
      <c r="F313">
        <v>2</v>
      </c>
      <c r="G313">
        <v>79.02</v>
      </c>
      <c r="H313">
        <v>0.27</v>
      </c>
      <c r="I313" t="s">
        <v>16</v>
      </c>
      <c r="J313">
        <v>7</v>
      </c>
      <c r="K313">
        <v>2.2000000000000002</v>
      </c>
      <c r="L313">
        <v>115.37</v>
      </c>
    </row>
    <row r="314" spans="1:12" x14ac:dyDescent="0.35">
      <c r="A314">
        <v>10313</v>
      </c>
      <c r="B314" s="1">
        <v>44815</v>
      </c>
      <c r="C314">
        <v>1836</v>
      </c>
      <c r="D314" t="s">
        <v>12</v>
      </c>
      <c r="E314" t="s">
        <v>20</v>
      </c>
      <c r="F314">
        <v>5</v>
      </c>
      <c r="G314">
        <v>173.22</v>
      </c>
      <c r="H314">
        <v>0.08</v>
      </c>
      <c r="I314" t="s">
        <v>16</v>
      </c>
      <c r="J314">
        <v>1</v>
      </c>
      <c r="K314">
        <v>4.0999999999999996</v>
      </c>
      <c r="L314">
        <v>796.81</v>
      </c>
    </row>
    <row r="315" spans="1:12" x14ac:dyDescent="0.35">
      <c r="A315">
        <v>10314</v>
      </c>
      <c r="B315" s="1">
        <v>44845</v>
      </c>
      <c r="C315">
        <v>1883</v>
      </c>
      <c r="D315" t="s">
        <v>19</v>
      </c>
      <c r="E315" t="s">
        <v>13</v>
      </c>
      <c r="F315">
        <v>1</v>
      </c>
      <c r="G315">
        <v>42.28</v>
      </c>
      <c r="H315">
        <v>7.0000000000000007E-2</v>
      </c>
      <c r="I315" t="s">
        <v>18</v>
      </c>
      <c r="J315">
        <v>7</v>
      </c>
      <c r="K315">
        <v>1.1000000000000001</v>
      </c>
      <c r="L315">
        <v>39.32</v>
      </c>
    </row>
    <row r="316" spans="1:12" x14ac:dyDescent="0.35">
      <c r="A316">
        <v>10315</v>
      </c>
      <c r="B316" s="1">
        <v>44876</v>
      </c>
      <c r="C316">
        <v>1609</v>
      </c>
      <c r="D316" t="s">
        <v>19</v>
      </c>
      <c r="E316" t="s">
        <v>20</v>
      </c>
      <c r="F316">
        <v>5</v>
      </c>
      <c r="G316">
        <v>267.92</v>
      </c>
      <c r="H316">
        <v>0.21</v>
      </c>
      <c r="I316" t="s">
        <v>16</v>
      </c>
      <c r="J316">
        <v>2</v>
      </c>
      <c r="K316">
        <v>2.9</v>
      </c>
      <c r="L316">
        <v>1058.28</v>
      </c>
    </row>
    <row r="317" spans="1:12" x14ac:dyDescent="0.35">
      <c r="A317">
        <v>10316</v>
      </c>
      <c r="B317" s="1">
        <v>44906</v>
      </c>
      <c r="C317">
        <v>1197</v>
      </c>
      <c r="D317" t="s">
        <v>19</v>
      </c>
      <c r="E317" t="s">
        <v>17</v>
      </c>
      <c r="F317">
        <v>4</v>
      </c>
      <c r="G317">
        <v>499.06</v>
      </c>
      <c r="H317">
        <v>0.26</v>
      </c>
      <c r="I317" t="s">
        <v>18</v>
      </c>
      <c r="J317">
        <v>11</v>
      </c>
      <c r="K317">
        <v>2.6</v>
      </c>
      <c r="L317">
        <v>1477.22</v>
      </c>
    </row>
    <row r="318" spans="1:12" x14ac:dyDescent="0.35">
      <c r="A318">
        <v>10317</v>
      </c>
      <c r="B318" t="s">
        <v>207</v>
      </c>
      <c r="C318">
        <v>1981</v>
      </c>
      <c r="D318" t="s">
        <v>12</v>
      </c>
      <c r="E318" t="s">
        <v>17</v>
      </c>
      <c r="F318">
        <v>2</v>
      </c>
      <c r="G318">
        <v>29.43</v>
      </c>
      <c r="H318">
        <v>0.11</v>
      </c>
      <c r="I318" t="s">
        <v>16</v>
      </c>
      <c r="J318">
        <v>8</v>
      </c>
      <c r="K318">
        <v>4.9000000000000004</v>
      </c>
      <c r="L318">
        <v>52.39</v>
      </c>
    </row>
    <row r="319" spans="1:12" x14ac:dyDescent="0.35">
      <c r="A319">
        <v>10318</v>
      </c>
      <c r="B319" t="s">
        <v>208</v>
      </c>
      <c r="C319">
        <v>1906</v>
      </c>
      <c r="D319" t="s">
        <v>15</v>
      </c>
      <c r="E319" t="s">
        <v>21</v>
      </c>
      <c r="F319">
        <v>2</v>
      </c>
      <c r="G319">
        <v>410.06</v>
      </c>
      <c r="H319">
        <v>0.04</v>
      </c>
      <c r="I319" t="s">
        <v>14</v>
      </c>
      <c r="J319">
        <v>1</v>
      </c>
      <c r="K319">
        <v>1.7</v>
      </c>
      <c r="L319">
        <v>787.32</v>
      </c>
    </row>
    <row r="320" spans="1:12" x14ac:dyDescent="0.35">
      <c r="A320">
        <v>10319</v>
      </c>
      <c r="B320" t="s">
        <v>209</v>
      </c>
      <c r="C320">
        <v>1510</v>
      </c>
      <c r="D320" t="s">
        <v>15</v>
      </c>
      <c r="E320" t="s">
        <v>17</v>
      </c>
      <c r="F320">
        <v>4</v>
      </c>
      <c r="G320">
        <v>560.51</v>
      </c>
      <c r="H320">
        <v>0.25</v>
      </c>
      <c r="I320" t="s">
        <v>16</v>
      </c>
      <c r="J320">
        <v>10</v>
      </c>
      <c r="K320">
        <v>3.5</v>
      </c>
      <c r="L320">
        <v>1681.53</v>
      </c>
    </row>
    <row r="321" spans="1:12" x14ac:dyDescent="0.35">
      <c r="A321">
        <v>10320</v>
      </c>
      <c r="B321" t="s">
        <v>210</v>
      </c>
      <c r="C321">
        <v>1751</v>
      </c>
      <c r="D321" t="s">
        <v>29</v>
      </c>
      <c r="E321" t="s">
        <v>17</v>
      </c>
      <c r="F321">
        <v>1</v>
      </c>
      <c r="G321">
        <v>153.6</v>
      </c>
      <c r="H321">
        <v>0.1</v>
      </c>
      <c r="I321" t="s">
        <v>18</v>
      </c>
      <c r="J321">
        <v>3</v>
      </c>
      <c r="K321">
        <v>1.8</v>
      </c>
      <c r="L321">
        <v>138.24</v>
      </c>
    </row>
    <row r="322" spans="1:12" x14ac:dyDescent="0.35">
      <c r="A322">
        <v>10321</v>
      </c>
      <c r="B322" t="s">
        <v>211</v>
      </c>
      <c r="C322">
        <v>1143</v>
      </c>
      <c r="D322" t="s">
        <v>29</v>
      </c>
      <c r="E322" t="s">
        <v>17</v>
      </c>
      <c r="F322">
        <v>2</v>
      </c>
      <c r="G322">
        <v>420.78</v>
      </c>
      <c r="H322">
        <v>0.06</v>
      </c>
      <c r="I322" t="s">
        <v>18</v>
      </c>
      <c r="J322">
        <v>8</v>
      </c>
      <c r="K322">
        <v>3.2</v>
      </c>
      <c r="L322">
        <v>791.07</v>
      </c>
    </row>
    <row r="323" spans="1:12" x14ac:dyDescent="0.35">
      <c r="A323">
        <v>10322</v>
      </c>
      <c r="B323" t="s">
        <v>212</v>
      </c>
      <c r="C323">
        <v>1608</v>
      </c>
      <c r="D323" t="s">
        <v>19</v>
      </c>
      <c r="E323" t="s">
        <v>20</v>
      </c>
      <c r="F323">
        <v>7</v>
      </c>
      <c r="G323">
        <v>585.42999999999995</v>
      </c>
      <c r="H323">
        <v>0.05</v>
      </c>
      <c r="I323" t="s">
        <v>16</v>
      </c>
      <c r="J323">
        <v>10</v>
      </c>
      <c r="K323">
        <v>3.2</v>
      </c>
      <c r="L323">
        <v>3893.11</v>
      </c>
    </row>
    <row r="324" spans="1:12" x14ac:dyDescent="0.35">
      <c r="A324">
        <v>10323</v>
      </c>
      <c r="B324" t="s">
        <v>213</v>
      </c>
      <c r="C324">
        <v>1200</v>
      </c>
      <c r="D324" t="s">
        <v>29</v>
      </c>
      <c r="E324" t="s">
        <v>20</v>
      </c>
      <c r="F324">
        <v>6</v>
      </c>
      <c r="G324">
        <v>577.92999999999995</v>
      </c>
      <c r="H324">
        <v>0.11</v>
      </c>
      <c r="I324" t="s">
        <v>18</v>
      </c>
      <c r="J324">
        <v>8</v>
      </c>
      <c r="K324">
        <v>1.3</v>
      </c>
      <c r="L324">
        <v>3086.15</v>
      </c>
    </row>
    <row r="325" spans="1:12" x14ac:dyDescent="0.35">
      <c r="A325">
        <v>10324</v>
      </c>
      <c r="B325" t="s">
        <v>214</v>
      </c>
      <c r="C325">
        <v>1123</v>
      </c>
      <c r="D325" t="s">
        <v>29</v>
      </c>
      <c r="E325" t="s">
        <v>13</v>
      </c>
      <c r="F325">
        <v>6</v>
      </c>
      <c r="G325">
        <v>152.43</v>
      </c>
      <c r="H325">
        <v>0.21</v>
      </c>
      <c r="I325" t="s">
        <v>18</v>
      </c>
      <c r="J325">
        <v>11</v>
      </c>
      <c r="K325">
        <v>2.8</v>
      </c>
      <c r="L325">
        <v>722.52</v>
      </c>
    </row>
    <row r="326" spans="1:12" x14ac:dyDescent="0.35">
      <c r="A326">
        <v>10325</v>
      </c>
      <c r="B326" t="s">
        <v>215</v>
      </c>
      <c r="C326">
        <v>1186</v>
      </c>
      <c r="D326" t="s">
        <v>29</v>
      </c>
      <c r="E326" t="s">
        <v>20</v>
      </c>
      <c r="F326">
        <v>6</v>
      </c>
      <c r="G326">
        <v>73.69</v>
      </c>
      <c r="H326">
        <v>0.13</v>
      </c>
      <c r="I326" t="s">
        <v>16</v>
      </c>
      <c r="J326">
        <v>5</v>
      </c>
      <c r="K326">
        <v>2.8</v>
      </c>
      <c r="L326">
        <v>384.66</v>
      </c>
    </row>
    <row r="327" spans="1:12" x14ac:dyDescent="0.35">
      <c r="A327">
        <v>10326</v>
      </c>
      <c r="B327" t="s">
        <v>216</v>
      </c>
      <c r="C327">
        <v>1325</v>
      </c>
      <c r="D327" t="s">
        <v>19</v>
      </c>
      <c r="E327" t="s">
        <v>17</v>
      </c>
      <c r="F327">
        <v>3</v>
      </c>
      <c r="G327">
        <v>101.75</v>
      </c>
      <c r="H327">
        <v>0.01</v>
      </c>
      <c r="I327" t="s">
        <v>18</v>
      </c>
      <c r="J327">
        <v>5</v>
      </c>
      <c r="K327">
        <v>2.2999999999999998</v>
      </c>
      <c r="L327">
        <v>302.2</v>
      </c>
    </row>
    <row r="328" spans="1:12" x14ac:dyDescent="0.35">
      <c r="A328">
        <v>10327</v>
      </c>
      <c r="B328" t="s">
        <v>217</v>
      </c>
      <c r="C328">
        <v>1463</v>
      </c>
      <c r="D328" t="s">
        <v>12</v>
      </c>
      <c r="E328" t="s">
        <v>20</v>
      </c>
      <c r="F328">
        <v>7</v>
      </c>
      <c r="G328">
        <v>425.69</v>
      </c>
      <c r="H328">
        <v>0.03</v>
      </c>
      <c r="I328" t="s">
        <v>14</v>
      </c>
      <c r="J328">
        <v>8</v>
      </c>
      <c r="K328">
        <v>2.1</v>
      </c>
      <c r="L328">
        <v>2890.44</v>
      </c>
    </row>
    <row r="329" spans="1:12" x14ac:dyDescent="0.35">
      <c r="A329">
        <v>10328</v>
      </c>
      <c r="B329" t="s">
        <v>218</v>
      </c>
      <c r="C329">
        <v>1348</v>
      </c>
      <c r="D329" t="s">
        <v>15</v>
      </c>
      <c r="E329" t="s">
        <v>21</v>
      </c>
      <c r="F329">
        <v>3</v>
      </c>
      <c r="G329">
        <v>439.57</v>
      </c>
      <c r="H329">
        <v>0.1</v>
      </c>
      <c r="I329" t="s">
        <v>18</v>
      </c>
      <c r="J329">
        <v>10</v>
      </c>
      <c r="K329">
        <v>1.9</v>
      </c>
      <c r="L329">
        <v>1186.8399999999999</v>
      </c>
    </row>
    <row r="330" spans="1:12" x14ac:dyDescent="0.35">
      <c r="A330">
        <v>10329</v>
      </c>
      <c r="B330" t="s">
        <v>219</v>
      </c>
      <c r="C330">
        <v>1770</v>
      </c>
      <c r="D330" t="s">
        <v>19</v>
      </c>
      <c r="E330" t="s">
        <v>13</v>
      </c>
      <c r="F330">
        <v>1</v>
      </c>
      <c r="G330">
        <v>409.43</v>
      </c>
      <c r="H330">
        <v>0.23</v>
      </c>
      <c r="I330" t="s">
        <v>14</v>
      </c>
      <c r="J330">
        <v>5</v>
      </c>
      <c r="K330">
        <v>1</v>
      </c>
      <c r="L330">
        <v>315.26</v>
      </c>
    </row>
    <row r="331" spans="1:12" x14ac:dyDescent="0.35">
      <c r="A331">
        <v>10330</v>
      </c>
      <c r="B331" t="s">
        <v>220</v>
      </c>
      <c r="C331">
        <v>1659</v>
      </c>
      <c r="D331" t="s">
        <v>15</v>
      </c>
      <c r="E331" t="s">
        <v>13</v>
      </c>
      <c r="F331">
        <v>4</v>
      </c>
      <c r="G331">
        <v>211.61</v>
      </c>
      <c r="H331">
        <v>0.03</v>
      </c>
      <c r="I331" t="s">
        <v>16</v>
      </c>
      <c r="J331">
        <v>9</v>
      </c>
      <c r="K331">
        <v>1</v>
      </c>
      <c r="L331">
        <v>821.05</v>
      </c>
    </row>
    <row r="332" spans="1:12" x14ac:dyDescent="0.35">
      <c r="A332">
        <v>10331</v>
      </c>
      <c r="B332" t="s">
        <v>221</v>
      </c>
      <c r="C332">
        <v>1763</v>
      </c>
      <c r="D332" t="s">
        <v>19</v>
      </c>
      <c r="E332" t="s">
        <v>20</v>
      </c>
      <c r="F332">
        <v>5</v>
      </c>
      <c r="G332">
        <v>114.32</v>
      </c>
      <c r="H332">
        <v>0.2</v>
      </c>
      <c r="I332" t="s">
        <v>18</v>
      </c>
      <c r="J332">
        <v>1</v>
      </c>
      <c r="K332">
        <v>3.4</v>
      </c>
      <c r="L332">
        <v>457.28</v>
      </c>
    </row>
    <row r="333" spans="1:12" x14ac:dyDescent="0.35">
      <c r="A333">
        <v>10332</v>
      </c>
      <c r="B333" t="s">
        <v>222</v>
      </c>
      <c r="C333">
        <v>1954</v>
      </c>
      <c r="D333" t="s">
        <v>19</v>
      </c>
      <c r="E333" t="s">
        <v>17</v>
      </c>
      <c r="F333">
        <v>7</v>
      </c>
      <c r="G333">
        <v>354.75</v>
      </c>
      <c r="H333">
        <v>0.04</v>
      </c>
      <c r="I333" t="s">
        <v>14</v>
      </c>
      <c r="J333">
        <v>5</v>
      </c>
      <c r="K333">
        <v>2.2000000000000002</v>
      </c>
      <c r="L333">
        <v>2383.92</v>
      </c>
    </row>
    <row r="334" spans="1:12" x14ac:dyDescent="0.35">
      <c r="A334">
        <v>10333</v>
      </c>
      <c r="B334" t="s">
        <v>223</v>
      </c>
      <c r="C334">
        <v>1931</v>
      </c>
      <c r="D334" t="s">
        <v>29</v>
      </c>
      <c r="E334" t="s">
        <v>13</v>
      </c>
      <c r="F334">
        <v>1</v>
      </c>
      <c r="G334">
        <v>297.95</v>
      </c>
      <c r="H334">
        <v>7.0000000000000007E-2</v>
      </c>
      <c r="I334" t="s">
        <v>16</v>
      </c>
      <c r="J334">
        <v>3</v>
      </c>
      <c r="K334">
        <v>1.7</v>
      </c>
      <c r="L334">
        <v>277.08999999999997</v>
      </c>
    </row>
    <row r="335" spans="1:12" x14ac:dyDescent="0.35">
      <c r="A335">
        <v>10334</v>
      </c>
      <c r="B335" t="s">
        <v>224</v>
      </c>
      <c r="C335">
        <v>1402</v>
      </c>
      <c r="D335" t="s">
        <v>19</v>
      </c>
      <c r="E335" t="s">
        <v>21</v>
      </c>
      <c r="F335">
        <v>5</v>
      </c>
      <c r="G335">
        <v>441.37</v>
      </c>
      <c r="H335">
        <v>0.06</v>
      </c>
      <c r="I335" t="s">
        <v>14</v>
      </c>
      <c r="J335">
        <v>3</v>
      </c>
      <c r="K335">
        <v>3.7</v>
      </c>
      <c r="L335">
        <v>2074.44</v>
      </c>
    </row>
    <row r="336" spans="1:12" x14ac:dyDescent="0.35">
      <c r="A336">
        <v>10335</v>
      </c>
      <c r="B336" s="1">
        <v>44573</v>
      </c>
      <c r="C336">
        <v>1345</v>
      </c>
      <c r="D336" t="s">
        <v>15</v>
      </c>
      <c r="E336" t="s">
        <v>21</v>
      </c>
      <c r="F336">
        <v>1</v>
      </c>
      <c r="G336">
        <v>273.2</v>
      </c>
      <c r="H336">
        <v>0.02</v>
      </c>
      <c r="I336" t="s">
        <v>16</v>
      </c>
      <c r="J336">
        <v>2</v>
      </c>
      <c r="K336">
        <v>3.1</v>
      </c>
      <c r="L336">
        <v>267.74</v>
      </c>
    </row>
    <row r="337" spans="1:12" x14ac:dyDescent="0.35">
      <c r="A337">
        <v>10336</v>
      </c>
      <c r="B337" s="1">
        <v>44604</v>
      </c>
      <c r="C337">
        <v>1962</v>
      </c>
      <c r="D337" t="s">
        <v>15</v>
      </c>
      <c r="E337" t="s">
        <v>13</v>
      </c>
      <c r="F337">
        <v>3</v>
      </c>
      <c r="G337">
        <v>213.1</v>
      </c>
      <c r="H337">
        <v>0.23</v>
      </c>
      <c r="I337" t="s">
        <v>14</v>
      </c>
      <c r="J337">
        <v>3</v>
      </c>
      <c r="K337">
        <v>4.7</v>
      </c>
      <c r="L337">
        <v>492.26</v>
      </c>
    </row>
    <row r="338" spans="1:12" x14ac:dyDescent="0.35">
      <c r="A338">
        <v>10337</v>
      </c>
      <c r="B338" s="1">
        <v>44632</v>
      </c>
      <c r="C338">
        <v>1510</v>
      </c>
      <c r="D338" t="s">
        <v>19</v>
      </c>
      <c r="E338" t="s">
        <v>17</v>
      </c>
      <c r="F338">
        <v>6</v>
      </c>
      <c r="G338">
        <v>186.68</v>
      </c>
      <c r="H338">
        <v>0.16</v>
      </c>
      <c r="I338" t="s">
        <v>16</v>
      </c>
      <c r="J338">
        <v>7</v>
      </c>
      <c r="K338">
        <v>4.3</v>
      </c>
      <c r="L338">
        <v>940.87</v>
      </c>
    </row>
    <row r="339" spans="1:12" x14ac:dyDescent="0.35">
      <c r="A339">
        <v>10338</v>
      </c>
      <c r="B339" s="1">
        <v>44663</v>
      </c>
      <c r="C339">
        <v>1146</v>
      </c>
      <c r="D339" t="s">
        <v>12</v>
      </c>
      <c r="E339" t="s">
        <v>17</v>
      </c>
      <c r="F339">
        <v>4</v>
      </c>
      <c r="G339">
        <v>138.71</v>
      </c>
      <c r="H339">
        <v>0.28999999999999998</v>
      </c>
      <c r="I339" t="s">
        <v>16</v>
      </c>
      <c r="J339">
        <v>8</v>
      </c>
      <c r="K339">
        <v>3.9</v>
      </c>
      <c r="L339">
        <v>393.94</v>
      </c>
    </row>
    <row r="340" spans="1:12" x14ac:dyDescent="0.35">
      <c r="A340">
        <v>10339</v>
      </c>
      <c r="B340" s="1">
        <v>44693</v>
      </c>
      <c r="C340">
        <v>1147</v>
      </c>
      <c r="D340" t="s">
        <v>19</v>
      </c>
      <c r="E340" t="s">
        <v>20</v>
      </c>
      <c r="F340">
        <v>3</v>
      </c>
      <c r="G340">
        <v>170.46</v>
      </c>
      <c r="H340">
        <v>0.03</v>
      </c>
      <c r="I340" t="s">
        <v>14</v>
      </c>
      <c r="J340">
        <v>8</v>
      </c>
      <c r="K340">
        <v>1.5</v>
      </c>
      <c r="L340">
        <v>496.04</v>
      </c>
    </row>
    <row r="341" spans="1:12" x14ac:dyDescent="0.35">
      <c r="A341">
        <v>10340</v>
      </c>
      <c r="B341" s="1">
        <v>44724</v>
      </c>
      <c r="C341">
        <v>1863</v>
      </c>
      <c r="D341" t="s">
        <v>19</v>
      </c>
      <c r="E341" t="s">
        <v>20</v>
      </c>
      <c r="F341">
        <v>4</v>
      </c>
      <c r="G341">
        <v>70.48</v>
      </c>
      <c r="H341">
        <v>0.05</v>
      </c>
      <c r="I341" t="s">
        <v>16</v>
      </c>
      <c r="J341">
        <v>11</v>
      </c>
      <c r="K341">
        <v>3.7</v>
      </c>
      <c r="L341">
        <v>267.82</v>
      </c>
    </row>
    <row r="342" spans="1:12" x14ac:dyDescent="0.35">
      <c r="A342">
        <v>10341</v>
      </c>
      <c r="B342" s="1">
        <v>44754</v>
      </c>
      <c r="C342">
        <v>1710</v>
      </c>
      <c r="D342" t="s">
        <v>19</v>
      </c>
      <c r="E342" t="s">
        <v>13</v>
      </c>
      <c r="F342">
        <v>7</v>
      </c>
      <c r="G342">
        <v>217.91</v>
      </c>
      <c r="H342">
        <v>0.11</v>
      </c>
      <c r="I342" t="s">
        <v>16</v>
      </c>
      <c r="J342">
        <v>8</v>
      </c>
      <c r="K342">
        <v>3.8</v>
      </c>
      <c r="L342">
        <v>1357.58</v>
      </c>
    </row>
    <row r="343" spans="1:12" x14ac:dyDescent="0.35">
      <c r="A343">
        <v>10342</v>
      </c>
      <c r="B343" s="1">
        <v>44785</v>
      </c>
      <c r="C343">
        <v>1819</v>
      </c>
      <c r="D343" t="s">
        <v>19</v>
      </c>
      <c r="E343" t="s">
        <v>20</v>
      </c>
      <c r="F343">
        <v>5</v>
      </c>
      <c r="G343">
        <v>36.39</v>
      </c>
      <c r="H343">
        <v>0.27</v>
      </c>
      <c r="I343" t="s">
        <v>16</v>
      </c>
      <c r="J343">
        <v>1</v>
      </c>
      <c r="K343">
        <v>4.0999999999999996</v>
      </c>
      <c r="L343">
        <v>132.82</v>
      </c>
    </row>
    <row r="344" spans="1:12" x14ac:dyDescent="0.35">
      <c r="A344">
        <v>10343</v>
      </c>
      <c r="B344" s="1">
        <v>44816</v>
      </c>
      <c r="C344">
        <v>1488</v>
      </c>
      <c r="D344" t="s">
        <v>19</v>
      </c>
      <c r="E344" t="s">
        <v>20</v>
      </c>
      <c r="F344">
        <v>1</v>
      </c>
      <c r="G344">
        <v>124.05</v>
      </c>
      <c r="H344">
        <v>0.11</v>
      </c>
      <c r="I344" t="s">
        <v>18</v>
      </c>
      <c r="J344">
        <v>11</v>
      </c>
      <c r="K344">
        <v>2.1</v>
      </c>
      <c r="L344">
        <v>110.4</v>
      </c>
    </row>
    <row r="345" spans="1:12" x14ac:dyDescent="0.35">
      <c r="A345">
        <v>10344</v>
      </c>
      <c r="B345" s="1">
        <v>44846</v>
      </c>
      <c r="C345">
        <v>1928</v>
      </c>
      <c r="D345" t="s">
        <v>29</v>
      </c>
      <c r="E345" t="s">
        <v>20</v>
      </c>
      <c r="F345">
        <v>2</v>
      </c>
      <c r="G345">
        <v>451.86</v>
      </c>
      <c r="H345">
        <v>0.14000000000000001</v>
      </c>
      <c r="I345" t="s">
        <v>14</v>
      </c>
      <c r="J345">
        <v>7</v>
      </c>
      <c r="K345">
        <v>3.6</v>
      </c>
      <c r="L345">
        <v>777.2</v>
      </c>
    </row>
    <row r="346" spans="1:12" x14ac:dyDescent="0.35">
      <c r="A346">
        <v>10345</v>
      </c>
      <c r="B346" s="1">
        <v>44877</v>
      </c>
      <c r="C346">
        <v>1935</v>
      </c>
      <c r="D346" t="s">
        <v>12</v>
      </c>
      <c r="E346" t="s">
        <v>21</v>
      </c>
      <c r="F346">
        <v>2</v>
      </c>
      <c r="G346">
        <v>205.4</v>
      </c>
      <c r="H346">
        <v>0.11</v>
      </c>
      <c r="I346" t="s">
        <v>16</v>
      </c>
      <c r="J346">
        <v>2</v>
      </c>
      <c r="K346">
        <v>3.5</v>
      </c>
      <c r="L346">
        <v>365.61</v>
      </c>
    </row>
    <row r="347" spans="1:12" x14ac:dyDescent="0.35">
      <c r="A347">
        <v>10346</v>
      </c>
      <c r="B347" s="1">
        <v>44907</v>
      </c>
      <c r="C347">
        <v>1639</v>
      </c>
      <c r="D347" t="s">
        <v>19</v>
      </c>
      <c r="E347" t="s">
        <v>20</v>
      </c>
      <c r="F347">
        <v>4</v>
      </c>
      <c r="G347">
        <v>405.92</v>
      </c>
      <c r="H347">
        <v>0.03</v>
      </c>
      <c r="I347" t="s">
        <v>18</v>
      </c>
      <c r="J347">
        <v>11</v>
      </c>
      <c r="K347">
        <v>2.5</v>
      </c>
      <c r="L347">
        <v>1574.97</v>
      </c>
    </row>
    <row r="348" spans="1:12" x14ac:dyDescent="0.35">
      <c r="A348">
        <v>10347</v>
      </c>
      <c r="B348" t="s">
        <v>225</v>
      </c>
      <c r="C348">
        <v>1550</v>
      </c>
      <c r="D348" t="s">
        <v>29</v>
      </c>
      <c r="E348" t="s">
        <v>13</v>
      </c>
      <c r="F348">
        <v>6</v>
      </c>
      <c r="G348">
        <v>434.38</v>
      </c>
      <c r="H348">
        <v>0.33</v>
      </c>
      <c r="I348" t="s">
        <v>16</v>
      </c>
      <c r="J348">
        <v>10</v>
      </c>
      <c r="K348">
        <v>3.7</v>
      </c>
      <c r="L348">
        <v>1746.21</v>
      </c>
    </row>
    <row r="349" spans="1:12" x14ac:dyDescent="0.35">
      <c r="A349">
        <v>10348</v>
      </c>
      <c r="B349" t="s">
        <v>226</v>
      </c>
      <c r="C349">
        <v>1337</v>
      </c>
      <c r="D349" t="s">
        <v>29</v>
      </c>
      <c r="E349" t="s">
        <v>17</v>
      </c>
      <c r="F349">
        <v>6</v>
      </c>
      <c r="G349">
        <v>354.99</v>
      </c>
      <c r="H349">
        <v>0.19</v>
      </c>
      <c r="I349" t="s">
        <v>18</v>
      </c>
      <c r="J349">
        <v>4</v>
      </c>
      <c r="K349">
        <v>1.3</v>
      </c>
      <c r="L349">
        <v>1725.25</v>
      </c>
    </row>
    <row r="350" spans="1:12" x14ac:dyDescent="0.35">
      <c r="A350">
        <v>10349</v>
      </c>
      <c r="B350" t="s">
        <v>227</v>
      </c>
      <c r="C350">
        <v>1871</v>
      </c>
      <c r="D350" t="s">
        <v>29</v>
      </c>
      <c r="E350" t="s">
        <v>20</v>
      </c>
      <c r="F350">
        <v>4</v>
      </c>
      <c r="G350">
        <v>575.84</v>
      </c>
      <c r="H350">
        <v>0.28000000000000003</v>
      </c>
      <c r="I350" t="s">
        <v>16</v>
      </c>
      <c r="J350">
        <v>5</v>
      </c>
      <c r="K350">
        <v>3.6</v>
      </c>
      <c r="L350">
        <v>1658.42</v>
      </c>
    </row>
    <row r="351" spans="1:12" x14ac:dyDescent="0.35">
      <c r="A351">
        <v>10350</v>
      </c>
      <c r="B351" t="s">
        <v>228</v>
      </c>
      <c r="C351">
        <v>1640</v>
      </c>
      <c r="D351" t="s">
        <v>15</v>
      </c>
      <c r="E351" t="s">
        <v>17</v>
      </c>
      <c r="F351">
        <v>3</v>
      </c>
      <c r="G351">
        <v>27.54</v>
      </c>
      <c r="H351">
        <v>0.23</v>
      </c>
      <c r="I351" t="s">
        <v>16</v>
      </c>
      <c r="J351">
        <v>1</v>
      </c>
      <c r="K351">
        <v>3.4</v>
      </c>
      <c r="L351">
        <v>63.62</v>
      </c>
    </row>
    <row r="352" spans="1:12" x14ac:dyDescent="0.35">
      <c r="A352">
        <v>10351</v>
      </c>
      <c r="B352" t="s">
        <v>229</v>
      </c>
      <c r="C352">
        <v>1778</v>
      </c>
      <c r="D352" t="s">
        <v>19</v>
      </c>
      <c r="E352" t="s">
        <v>20</v>
      </c>
      <c r="F352">
        <v>2</v>
      </c>
      <c r="G352">
        <v>447.11</v>
      </c>
      <c r="H352">
        <v>0.18</v>
      </c>
      <c r="I352" t="s">
        <v>16</v>
      </c>
      <c r="J352">
        <v>4</v>
      </c>
      <c r="K352">
        <v>1.8</v>
      </c>
      <c r="L352">
        <v>733.26</v>
      </c>
    </row>
    <row r="353" spans="1:12" x14ac:dyDescent="0.35">
      <c r="A353">
        <v>10352</v>
      </c>
      <c r="B353" t="s">
        <v>230</v>
      </c>
      <c r="C353">
        <v>1987</v>
      </c>
      <c r="D353" t="s">
        <v>19</v>
      </c>
      <c r="E353" t="s">
        <v>13</v>
      </c>
      <c r="F353">
        <v>3</v>
      </c>
      <c r="G353">
        <v>575.89</v>
      </c>
      <c r="H353">
        <v>0.03</v>
      </c>
      <c r="I353" t="s">
        <v>18</v>
      </c>
      <c r="J353">
        <v>4</v>
      </c>
      <c r="K353">
        <v>4.3</v>
      </c>
      <c r="L353">
        <v>1675.84</v>
      </c>
    </row>
    <row r="354" spans="1:12" x14ac:dyDescent="0.35">
      <c r="A354">
        <v>10353</v>
      </c>
      <c r="B354" t="s">
        <v>231</v>
      </c>
      <c r="C354">
        <v>1952</v>
      </c>
      <c r="D354" t="s">
        <v>29</v>
      </c>
      <c r="E354" t="s">
        <v>21</v>
      </c>
      <c r="F354">
        <v>5</v>
      </c>
      <c r="G354">
        <v>519.42999999999995</v>
      </c>
      <c r="H354">
        <v>0.22</v>
      </c>
      <c r="I354" t="s">
        <v>14</v>
      </c>
      <c r="J354">
        <v>9</v>
      </c>
      <c r="K354">
        <v>4.5</v>
      </c>
      <c r="L354">
        <v>2025.78</v>
      </c>
    </row>
    <row r="355" spans="1:12" x14ac:dyDescent="0.35">
      <c r="A355">
        <v>10354</v>
      </c>
      <c r="B355" t="s">
        <v>232</v>
      </c>
      <c r="C355">
        <v>1472</v>
      </c>
      <c r="D355" t="s">
        <v>29</v>
      </c>
      <c r="E355" t="s">
        <v>13</v>
      </c>
      <c r="F355">
        <v>2</v>
      </c>
      <c r="G355">
        <v>113.22</v>
      </c>
      <c r="H355">
        <v>0.05</v>
      </c>
      <c r="I355" t="s">
        <v>18</v>
      </c>
      <c r="J355">
        <v>9</v>
      </c>
      <c r="K355">
        <v>1.8</v>
      </c>
      <c r="L355">
        <v>215.12</v>
      </c>
    </row>
    <row r="356" spans="1:12" x14ac:dyDescent="0.35">
      <c r="A356">
        <v>10355</v>
      </c>
      <c r="B356" t="s">
        <v>233</v>
      </c>
      <c r="C356">
        <v>1945</v>
      </c>
      <c r="D356" t="s">
        <v>19</v>
      </c>
      <c r="E356" t="s">
        <v>21</v>
      </c>
      <c r="F356">
        <v>5</v>
      </c>
      <c r="G356">
        <v>206.19</v>
      </c>
      <c r="H356">
        <v>0.15</v>
      </c>
      <c r="I356" t="s">
        <v>16</v>
      </c>
      <c r="J356">
        <v>11</v>
      </c>
      <c r="K356">
        <v>1.3</v>
      </c>
      <c r="L356">
        <v>876.31</v>
      </c>
    </row>
    <row r="357" spans="1:12" x14ac:dyDescent="0.35">
      <c r="A357">
        <v>10356</v>
      </c>
      <c r="B357" t="s">
        <v>234</v>
      </c>
      <c r="C357">
        <v>1150</v>
      </c>
      <c r="D357" t="s">
        <v>15</v>
      </c>
      <c r="E357" t="s">
        <v>20</v>
      </c>
      <c r="F357">
        <v>1</v>
      </c>
      <c r="G357">
        <v>115.88</v>
      </c>
      <c r="H357">
        <v>0.22</v>
      </c>
      <c r="I357" t="s">
        <v>18</v>
      </c>
      <c r="J357">
        <v>10</v>
      </c>
      <c r="K357">
        <v>3.4</v>
      </c>
      <c r="L357">
        <v>90.39</v>
      </c>
    </row>
    <row r="358" spans="1:12" x14ac:dyDescent="0.35">
      <c r="A358">
        <v>10357</v>
      </c>
      <c r="B358" t="s">
        <v>235</v>
      </c>
      <c r="C358">
        <v>1414</v>
      </c>
      <c r="D358" t="s">
        <v>12</v>
      </c>
      <c r="E358" t="s">
        <v>20</v>
      </c>
      <c r="F358">
        <v>3</v>
      </c>
      <c r="G358">
        <v>366.77</v>
      </c>
      <c r="H358">
        <v>0.27</v>
      </c>
      <c r="I358" t="s">
        <v>18</v>
      </c>
      <c r="J358">
        <v>1</v>
      </c>
      <c r="K358">
        <v>2.9</v>
      </c>
      <c r="L358">
        <v>803.23</v>
      </c>
    </row>
    <row r="359" spans="1:12" x14ac:dyDescent="0.35">
      <c r="A359">
        <v>10358</v>
      </c>
      <c r="B359" t="s">
        <v>236</v>
      </c>
      <c r="C359">
        <v>1989</v>
      </c>
      <c r="D359" t="s">
        <v>29</v>
      </c>
      <c r="E359" t="s">
        <v>21</v>
      </c>
      <c r="F359">
        <v>4</v>
      </c>
      <c r="G359">
        <v>431.63</v>
      </c>
      <c r="H359">
        <v>0.24</v>
      </c>
      <c r="I359" t="s">
        <v>16</v>
      </c>
      <c r="J359">
        <v>8</v>
      </c>
      <c r="K359">
        <v>2.7</v>
      </c>
      <c r="L359">
        <v>1312.16</v>
      </c>
    </row>
    <row r="360" spans="1:12" x14ac:dyDescent="0.35">
      <c r="A360">
        <v>10359</v>
      </c>
      <c r="B360" t="s">
        <v>237</v>
      </c>
      <c r="C360">
        <v>1297</v>
      </c>
      <c r="D360" t="s">
        <v>12</v>
      </c>
      <c r="E360" t="s">
        <v>13</v>
      </c>
      <c r="F360">
        <v>2</v>
      </c>
      <c r="G360">
        <v>200.49</v>
      </c>
      <c r="H360">
        <v>0.24</v>
      </c>
      <c r="I360" t="s">
        <v>16</v>
      </c>
      <c r="J360">
        <v>4</v>
      </c>
      <c r="K360">
        <v>4</v>
      </c>
      <c r="L360">
        <v>304.74</v>
      </c>
    </row>
    <row r="361" spans="1:12" x14ac:dyDescent="0.35">
      <c r="A361">
        <v>10360</v>
      </c>
      <c r="B361" t="s">
        <v>238</v>
      </c>
      <c r="C361">
        <v>1610</v>
      </c>
      <c r="D361" t="s">
        <v>29</v>
      </c>
      <c r="E361" t="s">
        <v>13</v>
      </c>
      <c r="F361">
        <v>3</v>
      </c>
      <c r="G361">
        <v>330.61</v>
      </c>
      <c r="H361">
        <v>0.05</v>
      </c>
      <c r="I361" t="s">
        <v>16</v>
      </c>
      <c r="J361">
        <v>4</v>
      </c>
      <c r="K361">
        <v>4.9000000000000004</v>
      </c>
      <c r="L361">
        <v>942.24</v>
      </c>
    </row>
    <row r="362" spans="1:12" x14ac:dyDescent="0.35">
      <c r="A362">
        <v>10361</v>
      </c>
      <c r="B362" t="s">
        <v>239</v>
      </c>
      <c r="C362">
        <v>1262</v>
      </c>
      <c r="D362" t="s">
        <v>15</v>
      </c>
      <c r="E362" t="s">
        <v>21</v>
      </c>
      <c r="F362">
        <v>4</v>
      </c>
      <c r="G362">
        <v>419.19</v>
      </c>
      <c r="H362">
        <v>0.12</v>
      </c>
      <c r="I362" t="s">
        <v>18</v>
      </c>
      <c r="J362">
        <v>5</v>
      </c>
      <c r="K362">
        <v>2.9</v>
      </c>
      <c r="L362">
        <v>1475.55</v>
      </c>
    </row>
    <row r="363" spans="1:12" x14ac:dyDescent="0.35">
      <c r="A363">
        <v>10362</v>
      </c>
      <c r="B363" t="s">
        <v>240</v>
      </c>
      <c r="C363">
        <v>1763</v>
      </c>
      <c r="D363" t="s">
        <v>15</v>
      </c>
      <c r="E363" t="s">
        <v>20</v>
      </c>
      <c r="F363">
        <v>1</v>
      </c>
      <c r="G363">
        <v>261.48</v>
      </c>
      <c r="H363">
        <v>0.02</v>
      </c>
      <c r="I363" t="s">
        <v>18</v>
      </c>
      <c r="J363">
        <v>2</v>
      </c>
      <c r="K363">
        <v>1</v>
      </c>
      <c r="L363">
        <v>256.25</v>
      </c>
    </row>
    <row r="364" spans="1:12" x14ac:dyDescent="0.35">
      <c r="A364">
        <v>10363</v>
      </c>
      <c r="B364" t="s">
        <v>241</v>
      </c>
      <c r="C364">
        <v>1143</v>
      </c>
      <c r="D364" t="s">
        <v>29</v>
      </c>
      <c r="E364" t="s">
        <v>21</v>
      </c>
      <c r="F364">
        <v>2</v>
      </c>
      <c r="G364">
        <v>514.6</v>
      </c>
      <c r="H364">
        <v>0.25</v>
      </c>
      <c r="I364" t="s">
        <v>18</v>
      </c>
      <c r="J364">
        <v>1</v>
      </c>
      <c r="K364">
        <v>3.4</v>
      </c>
      <c r="L364">
        <v>771.9</v>
      </c>
    </row>
    <row r="365" spans="1:12" x14ac:dyDescent="0.35">
      <c r="A365">
        <v>10364</v>
      </c>
      <c r="B365" t="s">
        <v>242</v>
      </c>
      <c r="C365">
        <v>1345</v>
      </c>
      <c r="D365" t="s">
        <v>19</v>
      </c>
      <c r="E365" t="s">
        <v>20</v>
      </c>
      <c r="F365">
        <v>5</v>
      </c>
      <c r="G365">
        <v>466.36</v>
      </c>
      <c r="H365">
        <v>0.33</v>
      </c>
      <c r="I365" t="s">
        <v>16</v>
      </c>
      <c r="J365">
        <v>5</v>
      </c>
      <c r="K365">
        <v>3.6</v>
      </c>
      <c r="L365">
        <v>1562.31</v>
      </c>
    </row>
    <row r="366" spans="1:12" x14ac:dyDescent="0.35">
      <c r="A366">
        <v>10365</v>
      </c>
      <c r="B366" t="s">
        <v>243</v>
      </c>
      <c r="C366">
        <v>1623</v>
      </c>
      <c r="D366" t="s">
        <v>15</v>
      </c>
      <c r="E366" t="s">
        <v>21</v>
      </c>
      <c r="F366">
        <v>1</v>
      </c>
      <c r="G366">
        <v>52.83</v>
      </c>
      <c r="H366">
        <v>0.09</v>
      </c>
      <c r="I366" t="s">
        <v>16</v>
      </c>
      <c r="J366">
        <v>7</v>
      </c>
      <c r="K366">
        <v>4.3</v>
      </c>
      <c r="L366">
        <v>48.08</v>
      </c>
    </row>
    <row r="367" spans="1:12" x14ac:dyDescent="0.35">
      <c r="A367">
        <v>10366</v>
      </c>
      <c r="B367" s="1">
        <v>44927</v>
      </c>
      <c r="C367">
        <v>1571</v>
      </c>
      <c r="D367" t="s">
        <v>29</v>
      </c>
      <c r="E367" t="s">
        <v>20</v>
      </c>
      <c r="F367">
        <v>6</v>
      </c>
      <c r="G367">
        <v>378.36</v>
      </c>
      <c r="H367">
        <v>0.03</v>
      </c>
      <c r="I367" t="s">
        <v>14</v>
      </c>
      <c r="J367">
        <v>10</v>
      </c>
      <c r="K367">
        <v>1.8</v>
      </c>
      <c r="L367">
        <v>2202.06</v>
      </c>
    </row>
    <row r="368" spans="1:12" x14ac:dyDescent="0.35">
      <c r="A368">
        <v>10367</v>
      </c>
      <c r="B368" s="1">
        <v>44958</v>
      </c>
      <c r="C368">
        <v>1880</v>
      </c>
      <c r="D368" t="s">
        <v>19</v>
      </c>
      <c r="E368" t="s">
        <v>21</v>
      </c>
      <c r="F368">
        <v>4</v>
      </c>
      <c r="G368">
        <v>152.66999999999999</v>
      </c>
      <c r="H368">
        <v>0.17</v>
      </c>
      <c r="I368" t="s">
        <v>16</v>
      </c>
      <c r="J368">
        <v>9</v>
      </c>
      <c r="K368">
        <v>3.1</v>
      </c>
      <c r="L368">
        <v>506.86</v>
      </c>
    </row>
    <row r="369" spans="1:12" x14ac:dyDescent="0.35">
      <c r="A369">
        <v>10368</v>
      </c>
      <c r="B369" s="1">
        <v>44986</v>
      </c>
      <c r="C369">
        <v>1001</v>
      </c>
      <c r="D369" t="s">
        <v>29</v>
      </c>
      <c r="E369" t="s">
        <v>17</v>
      </c>
      <c r="F369">
        <v>2</v>
      </c>
      <c r="G369">
        <v>341.15</v>
      </c>
      <c r="H369">
        <v>0.3</v>
      </c>
      <c r="I369" t="s">
        <v>14</v>
      </c>
      <c r="J369">
        <v>2</v>
      </c>
      <c r="K369">
        <v>2.8</v>
      </c>
      <c r="L369">
        <v>477.61</v>
      </c>
    </row>
    <row r="370" spans="1:12" x14ac:dyDescent="0.35">
      <c r="A370">
        <v>10369</v>
      </c>
      <c r="B370" s="1">
        <v>45017</v>
      </c>
      <c r="C370">
        <v>1896</v>
      </c>
      <c r="D370" t="s">
        <v>15</v>
      </c>
      <c r="E370" t="s">
        <v>20</v>
      </c>
      <c r="F370">
        <v>2</v>
      </c>
      <c r="G370">
        <v>574.78</v>
      </c>
      <c r="H370">
        <v>0.19</v>
      </c>
      <c r="I370" t="s">
        <v>18</v>
      </c>
      <c r="J370">
        <v>8</v>
      </c>
      <c r="K370">
        <v>3.7</v>
      </c>
      <c r="L370">
        <v>931.14</v>
      </c>
    </row>
    <row r="371" spans="1:12" x14ac:dyDescent="0.35">
      <c r="A371">
        <v>10370</v>
      </c>
      <c r="B371" s="1">
        <v>45047</v>
      </c>
      <c r="C371">
        <v>1303</v>
      </c>
      <c r="D371" t="s">
        <v>12</v>
      </c>
      <c r="E371" t="s">
        <v>13</v>
      </c>
      <c r="F371">
        <v>7</v>
      </c>
      <c r="G371">
        <v>529.25</v>
      </c>
      <c r="H371">
        <v>0.02</v>
      </c>
      <c r="I371" t="s">
        <v>16</v>
      </c>
      <c r="J371">
        <v>7</v>
      </c>
      <c r="K371">
        <v>1.3</v>
      </c>
      <c r="L371">
        <v>3630.66</v>
      </c>
    </row>
    <row r="372" spans="1:12" x14ac:dyDescent="0.35">
      <c r="A372">
        <v>10371</v>
      </c>
      <c r="B372" s="1">
        <v>45078</v>
      </c>
      <c r="C372">
        <v>1253</v>
      </c>
      <c r="D372" t="s">
        <v>19</v>
      </c>
      <c r="E372" t="s">
        <v>21</v>
      </c>
      <c r="F372">
        <v>7</v>
      </c>
      <c r="G372">
        <v>251.64</v>
      </c>
      <c r="H372">
        <v>0.34</v>
      </c>
      <c r="I372" t="s">
        <v>18</v>
      </c>
      <c r="J372">
        <v>2</v>
      </c>
      <c r="K372">
        <v>4.5</v>
      </c>
      <c r="L372">
        <v>1162.58</v>
      </c>
    </row>
    <row r="373" spans="1:12" x14ac:dyDescent="0.35">
      <c r="A373">
        <v>10372</v>
      </c>
      <c r="B373" s="1">
        <v>45108</v>
      </c>
      <c r="C373">
        <v>1651</v>
      </c>
      <c r="D373" t="s">
        <v>19</v>
      </c>
      <c r="E373" t="s">
        <v>13</v>
      </c>
      <c r="F373">
        <v>1</v>
      </c>
      <c r="G373">
        <v>185.54</v>
      </c>
      <c r="H373">
        <v>0.28999999999999998</v>
      </c>
      <c r="I373" t="s">
        <v>14</v>
      </c>
      <c r="J373">
        <v>5</v>
      </c>
      <c r="K373">
        <v>3</v>
      </c>
      <c r="L373">
        <v>131.72999999999999</v>
      </c>
    </row>
    <row r="374" spans="1:12" x14ac:dyDescent="0.35">
      <c r="A374">
        <v>10373</v>
      </c>
      <c r="B374" s="1">
        <v>45139</v>
      </c>
      <c r="C374">
        <v>1452</v>
      </c>
      <c r="D374" t="s">
        <v>15</v>
      </c>
      <c r="E374" t="s">
        <v>21</v>
      </c>
      <c r="F374">
        <v>2</v>
      </c>
      <c r="G374">
        <v>152.13</v>
      </c>
      <c r="H374">
        <v>0.05</v>
      </c>
      <c r="I374" t="s">
        <v>16</v>
      </c>
      <c r="J374">
        <v>7</v>
      </c>
      <c r="K374">
        <v>4.5</v>
      </c>
      <c r="L374">
        <v>289.05</v>
      </c>
    </row>
    <row r="375" spans="1:12" x14ac:dyDescent="0.35">
      <c r="A375">
        <v>10374</v>
      </c>
      <c r="B375" s="1">
        <v>45170</v>
      </c>
      <c r="C375">
        <v>1036</v>
      </c>
      <c r="D375" t="s">
        <v>19</v>
      </c>
      <c r="E375" t="s">
        <v>13</v>
      </c>
      <c r="F375">
        <v>4</v>
      </c>
      <c r="G375">
        <v>326.52</v>
      </c>
      <c r="H375">
        <v>0.32</v>
      </c>
      <c r="I375" t="s">
        <v>14</v>
      </c>
      <c r="J375">
        <v>3</v>
      </c>
      <c r="K375">
        <v>2.4</v>
      </c>
      <c r="L375">
        <v>888.13</v>
      </c>
    </row>
    <row r="376" spans="1:12" x14ac:dyDescent="0.35">
      <c r="A376">
        <v>10375</v>
      </c>
      <c r="B376" s="1">
        <v>45200</v>
      </c>
      <c r="C376">
        <v>1159</v>
      </c>
      <c r="D376" t="s">
        <v>29</v>
      </c>
      <c r="E376" t="s">
        <v>13</v>
      </c>
      <c r="F376">
        <v>1</v>
      </c>
      <c r="G376">
        <v>81.84</v>
      </c>
      <c r="H376">
        <v>0.16</v>
      </c>
      <c r="I376" t="s">
        <v>16</v>
      </c>
      <c r="J376">
        <v>2</v>
      </c>
      <c r="K376">
        <v>3.6</v>
      </c>
      <c r="L376">
        <v>68.75</v>
      </c>
    </row>
    <row r="377" spans="1:12" x14ac:dyDescent="0.35">
      <c r="A377">
        <v>10376</v>
      </c>
      <c r="B377" s="1">
        <v>45231</v>
      </c>
      <c r="C377">
        <v>1008</v>
      </c>
      <c r="D377" t="s">
        <v>29</v>
      </c>
      <c r="E377" t="s">
        <v>21</v>
      </c>
      <c r="F377">
        <v>5</v>
      </c>
      <c r="G377">
        <v>336.33</v>
      </c>
      <c r="H377">
        <v>0.13</v>
      </c>
      <c r="I377" t="s">
        <v>18</v>
      </c>
      <c r="J377">
        <v>6</v>
      </c>
      <c r="K377">
        <v>4.8</v>
      </c>
      <c r="L377">
        <v>1463.04</v>
      </c>
    </row>
    <row r="378" spans="1:12" x14ac:dyDescent="0.35">
      <c r="A378">
        <v>10377</v>
      </c>
      <c r="B378" s="1">
        <v>45261</v>
      </c>
      <c r="C378">
        <v>1232</v>
      </c>
      <c r="D378" t="s">
        <v>19</v>
      </c>
      <c r="E378" t="s">
        <v>21</v>
      </c>
      <c r="F378">
        <v>1</v>
      </c>
      <c r="G378">
        <v>15.78</v>
      </c>
      <c r="H378">
        <v>0.16</v>
      </c>
      <c r="I378" t="s">
        <v>14</v>
      </c>
      <c r="J378">
        <v>10</v>
      </c>
      <c r="K378">
        <v>4.8</v>
      </c>
      <c r="L378">
        <v>13.26</v>
      </c>
    </row>
    <row r="379" spans="1:12" x14ac:dyDescent="0.35">
      <c r="A379">
        <v>10378</v>
      </c>
      <c r="B379" t="s">
        <v>244</v>
      </c>
      <c r="C379">
        <v>1098</v>
      </c>
      <c r="D379" t="s">
        <v>15</v>
      </c>
      <c r="E379" t="s">
        <v>13</v>
      </c>
      <c r="F379">
        <v>1</v>
      </c>
      <c r="G379">
        <v>204.45</v>
      </c>
      <c r="H379">
        <v>0.28999999999999998</v>
      </c>
      <c r="I379" t="s">
        <v>14</v>
      </c>
      <c r="J379">
        <v>6</v>
      </c>
      <c r="K379">
        <v>4.8</v>
      </c>
      <c r="L379">
        <v>145.16</v>
      </c>
    </row>
    <row r="380" spans="1:12" x14ac:dyDescent="0.35">
      <c r="A380">
        <v>10379</v>
      </c>
      <c r="B380" t="s">
        <v>245</v>
      </c>
      <c r="C380">
        <v>1658</v>
      </c>
      <c r="D380" t="s">
        <v>15</v>
      </c>
      <c r="E380" t="s">
        <v>13</v>
      </c>
      <c r="F380">
        <v>5</v>
      </c>
      <c r="G380">
        <v>143.66</v>
      </c>
      <c r="H380">
        <v>0.23</v>
      </c>
      <c r="I380" t="s">
        <v>18</v>
      </c>
      <c r="J380">
        <v>11</v>
      </c>
      <c r="K380">
        <v>1.2</v>
      </c>
      <c r="L380">
        <v>553.09</v>
      </c>
    </row>
    <row r="381" spans="1:12" x14ac:dyDescent="0.35">
      <c r="A381">
        <v>10380</v>
      </c>
      <c r="B381" t="s">
        <v>246</v>
      </c>
      <c r="C381">
        <v>1815</v>
      </c>
      <c r="D381" t="s">
        <v>15</v>
      </c>
      <c r="E381" t="s">
        <v>13</v>
      </c>
      <c r="F381">
        <v>6</v>
      </c>
      <c r="G381">
        <v>583.16</v>
      </c>
      <c r="H381">
        <v>0.02</v>
      </c>
      <c r="I381" t="s">
        <v>18</v>
      </c>
      <c r="J381">
        <v>4</v>
      </c>
      <c r="K381">
        <v>2.6</v>
      </c>
      <c r="L381">
        <v>3428.98</v>
      </c>
    </row>
    <row r="382" spans="1:12" x14ac:dyDescent="0.35">
      <c r="A382">
        <v>10381</v>
      </c>
      <c r="B382" t="s">
        <v>247</v>
      </c>
      <c r="C382">
        <v>1207</v>
      </c>
      <c r="D382" t="s">
        <v>12</v>
      </c>
      <c r="E382" t="s">
        <v>20</v>
      </c>
      <c r="F382">
        <v>7</v>
      </c>
      <c r="G382">
        <v>440.44</v>
      </c>
      <c r="H382">
        <v>0.34</v>
      </c>
      <c r="I382" t="s">
        <v>16</v>
      </c>
      <c r="J382">
        <v>1</v>
      </c>
      <c r="K382">
        <v>1.2</v>
      </c>
      <c r="L382">
        <v>2034.83</v>
      </c>
    </row>
    <row r="383" spans="1:12" x14ac:dyDescent="0.35">
      <c r="A383">
        <v>10382</v>
      </c>
      <c r="B383" t="s">
        <v>248</v>
      </c>
      <c r="C383">
        <v>1130</v>
      </c>
      <c r="D383" t="s">
        <v>29</v>
      </c>
      <c r="E383" t="s">
        <v>20</v>
      </c>
      <c r="F383">
        <v>4</v>
      </c>
      <c r="G383">
        <v>219.55</v>
      </c>
      <c r="H383">
        <v>0.05</v>
      </c>
      <c r="I383" t="s">
        <v>16</v>
      </c>
      <c r="J383">
        <v>5</v>
      </c>
      <c r="K383">
        <v>2.2000000000000002</v>
      </c>
      <c r="L383">
        <v>834.29</v>
      </c>
    </row>
    <row r="384" spans="1:12" x14ac:dyDescent="0.35">
      <c r="A384">
        <v>10383</v>
      </c>
      <c r="B384" t="s">
        <v>249</v>
      </c>
      <c r="C384">
        <v>1403</v>
      </c>
      <c r="D384" t="s">
        <v>29</v>
      </c>
      <c r="E384" t="s">
        <v>17</v>
      </c>
      <c r="F384">
        <v>6</v>
      </c>
      <c r="G384">
        <v>69.31</v>
      </c>
      <c r="H384">
        <v>0.26</v>
      </c>
      <c r="I384" t="s">
        <v>16</v>
      </c>
      <c r="J384">
        <v>1</v>
      </c>
      <c r="K384">
        <v>1.7</v>
      </c>
      <c r="L384">
        <v>307.74</v>
      </c>
    </row>
    <row r="385" spans="1:12" x14ac:dyDescent="0.35">
      <c r="A385">
        <v>10384</v>
      </c>
      <c r="B385" t="s">
        <v>250</v>
      </c>
      <c r="C385">
        <v>1151</v>
      </c>
      <c r="D385" t="s">
        <v>29</v>
      </c>
      <c r="E385" t="s">
        <v>20</v>
      </c>
      <c r="F385">
        <v>6</v>
      </c>
      <c r="G385">
        <v>317.33</v>
      </c>
      <c r="H385">
        <v>0.22</v>
      </c>
      <c r="I385" t="s">
        <v>16</v>
      </c>
      <c r="J385">
        <v>11</v>
      </c>
      <c r="K385">
        <v>3.5</v>
      </c>
      <c r="L385">
        <v>1485.1</v>
      </c>
    </row>
    <row r="386" spans="1:12" x14ac:dyDescent="0.35">
      <c r="A386">
        <v>10385</v>
      </c>
      <c r="B386" t="s">
        <v>251</v>
      </c>
      <c r="C386">
        <v>1053</v>
      </c>
      <c r="D386" t="s">
        <v>15</v>
      </c>
      <c r="E386" t="s">
        <v>20</v>
      </c>
      <c r="F386">
        <v>6</v>
      </c>
      <c r="G386">
        <v>139.87</v>
      </c>
      <c r="H386">
        <v>7.0000000000000007E-2</v>
      </c>
      <c r="I386" t="s">
        <v>16</v>
      </c>
      <c r="J386">
        <v>11</v>
      </c>
      <c r="K386">
        <v>4.0999999999999996</v>
      </c>
      <c r="L386">
        <v>780.47</v>
      </c>
    </row>
    <row r="387" spans="1:12" x14ac:dyDescent="0.35">
      <c r="A387">
        <v>10386</v>
      </c>
      <c r="B387" t="s">
        <v>252</v>
      </c>
      <c r="C387">
        <v>1119</v>
      </c>
      <c r="D387" t="s">
        <v>12</v>
      </c>
      <c r="E387" t="s">
        <v>21</v>
      </c>
      <c r="F387">
        <v>7</v>
      </c>
      <c r="G387">
        <v>328.81</v>
      </c>
      <c r="H387">
        <v>0.06</v>
      </c>
      <c r="I387" t="s">
        <v>16</v>
      </c>
      <c r="J387">
        <v>8</v>
      </c>
      <c r="K387">
        <v>3.1</v>
      </c>
      <c r="L387">
        <v>2163.5700000000002</v>
      </c>
    </row>
    <row r="388" spans="1:12" x14ac:dyDescent="0.35">
      <c r="A388">
        <v>10387</v>
      </c>
      <c r="B388" t="s">
        <v>253</v>
      </c>
      <c r="C388">
        <v>1672</v>
      </c>
      <c r="D388" t="s">
        <v>29</v>
      </c>
      <c r="E388" t="s">
        <v>17</v>
      </c>
      <c r="F388">
        <v>3</v>
      </c>
      <c r="G388">
        <v>503.69</v>
      </c>
      <c r="H388">
        <v>0.3</v>
      </c>
      <c r="I388" t="s">
        <v>14</v>
      </c>
      <c r="J388">
        <v>2</v>
      </c>
      <c r="K388">
        <v>4.2</v>
      </c>
      <c r="L388">
        <v>1057.75</v>
      </c>
    </row>
    <row r="389" spans="1:12" x14ac:dyDescent="0.35">
      <c r="A389">
        <v>10388</v>
      </c>
      <c r="B389" t="s">
        <v>254</v>
      </c>
      <c r="C389">
        <v>1919</v>
      </c>
      <c r="D389" t="s">
        <v>29</v>
      </c>
      <c r="E389" t="s">
        <v>17</v>
      </c>
      <c r="F389">
        <v>7</v>
      </c>
      <c r="G389">
        <v>375.24</v>
      </c>
      <c r="H389">
        <v>0.15</v>
      </c>
      <c r="I389" t="s">
        <v>18</v>
      </c>
      <c r="J389">
        <v>9</v>
      </c>
      <c r="K389">
        <v>1.1000000000000001</v>
      </c>
      <c r="L389">
        <v>2232.6799999999998</v>
      </c>
    </row>
    <row r="390" spans="1:12" x14ac:dyDescent="0.35">
      <c r="A390">
        <v>10389</v>
      </c>
      <c r="B390" t="s">
        <v>255</v>
      </c>
      <c r="C390">
        <v>1627</v>
      </c>
      <c r="D390" t="s">
        <v>12</v>
      </c>
      <c r="E390" t="s">
        <v>20</v>
      </c>
      <c r="F390">
        <v>6</v>
      </c>
      <c r="G390">
        <v>385.77</v>
      </c>
      <c r="H390">
        <v>0.23</v>
      </c>
      <c r="I390" t="s">
        <v>16</v>
      </c>
      <c r="J390">
        <v>9</v>
      </c>
      <c r="K390">
        <v>4.3</v>
      </c>
      <c r="L390">
        <v>1782.26</v>
      </c>
    </row>
    <row r="391" spans="1:12" x14ac:dyDescent="0.35">
      <c r="A391">
        <v>10390</v>
      </c>
      <c r="B391" t="s">
        <v>256</v>
      </c>
      <c r="C391">
        <v>1586</v>
      </c>
      <c r="D391" t="s">
        <v>19</v>
      </c>
      <c r="E391" t="s">
        <v>21</v>
      </c>
      <c r="F391">
        <v>3</v>
      </c>
      <c r="G391">
        <v>331.5</v>
      </c>
      <c r="H391">
        <v>0.18</v>
      </c>
      <c r="I391" t="s">
        <v>14</v>
      </c>
      <c r="J391">
        <v>3</v>
      </c>
      <c r="K391">
        <v>1.7</v>
      </c>
      <c r="L391">
        <v>815.49</v>
      </c>
    </row>
    <row r="392" spans="1:12" x14ac:dyDescent="0.35">
      <c r="A392">
        <v>10391</v>
      </c>
      <c r="B392" t="s">
        <v>257</v>
      </c>
      <c r="C392">
        <v>1624</v>
      </c>
      <c r="D392" t="s">
        <v>29</v>
      </c>
      <c r="E392" t="s">
        <v>21</v>
      </c>
      <c r="F392">
        <v>5</v>
      </c>
      <c r="G392">
        <v>557.45000000000005</v>
      </c>
      <c r="H392">
        <v>0.25</v>
      </c>
      <c r="I392" t="s">
        <v>16</v>
      </c>
      <c r="J392">
        <v>6</v>
      </c>
      <c r="K392">
        <v>2.8</v>
      </c>
      <c r="L392">
        <v>2090.44</v>
      </c>
    </row>
    <row r="393" spans="1:12" x14ac:dyDescent="0.35">
      <c r="A393">
        <v>10392</v>
      </c>
      <c r="B393" t="s">
        <v>258</v>
      </c>
      <c r="C393">
        <v>1967</v>
      </c>
      <c r="D393" t="s">
        <v>19</v>
      </c>
      <c r="E393" t="s">
        <v>17</v>
      </c>
      <c r="F393">
        <v>7</v>
      </c>
      <c r="G393">
        <v>560.16</v>
      </c>
      <c r="H393">
        <v>0.17</v>
      </c>
      <c r="I393" t="s">
        <v>18</v>
      </c>
      <c r="J393">
        <v>9</v>
      </c>
      <c r="K393">
        <v>2.8</v>
      </c>
      <c r="L393">
        <v>3254.53</v>
      </c>
    </row>
    <row r="394" spans="1:12" x14ac:dyDescent="0.35">
      <c r="A394">
        <v>10393</v>
      </c>
      <c r="B394" t="s">
        <v>259</v>
      </c>
      <c r="C394">
        <v>1419</v>
      </c>
      <c r="D394" t="s">
        <v>19</v>
      </c>
      <c r="E394" t="s">
        <v>21</v>
      </c>
      <c r="F394">
        <v>4</v>
      </c>
      <c r="G394">
        <v>314.94</v>
      </c>
      <c r="H394">
        <v>0.1</v>
      </c>
      <c r="I394" t="s">
        <v>18</v>
      </c>
      <c r="J394">
        <v>7</v>
      </c>
      <c r="K394">
        <v>4.5</v>
      </c>
      <c r="L394">
        <v>1133.78</v>
      </c>
    </row>
    <row r="395" spans="1:12" x14ac:dyDescent="0.35">
      <c r="A395">
        <v>10394</v>
      </c>
      <c r="B395" t="s">
        <v>260</v>
      </c>
      <c r="C395">
        <v>1421</v>
      </c>
      <c r="D395" t="s">
        <v>19</v>
      </c>
      <c r="E395" t="s">
        <v>13</v>
      </c>
      <c r="F395">
        <v>6</v>
      </c>
      <c r="G395">
        <v>193.87</v>
      </c>
      <c r="H395">
        <v>0.13</v>
      </c>
      <c r="I395" t="s">
        <v>16</v>
      </c>
      <c r="J395">
        <v>4</v>
      </c>
      <c r="K395">
        <v>4.9000000000000004</v>
      </c>
      <c r="L395">
        <v>1012</v>
      </c>
    </row>
    <row r="396" spans="1:12" x14ac:dyDescent="0.35">
      <c r="A396">
        <v>10395</v>
      </c>
      <c r="B396" t="s">
        <v>261</v>
      </c>
      <c r="C396">
        <v>1103</v>
      </c>
      <c r="D396" t="s">
        <v>12</v>
      </c>
      <c r="E396" t="s">
        <v>20</v>
      </c>
      <c r="F396">
        <v>2</v>
      </c>
      <c r="G396">
        <v>283.86</v>
      </c>
      <c r="H396">
        <v>0.3</v>
      </c>
      <c r="I396" t="s">
        <v>18</v>
      </c>
      <c r="J396">
        <v>3</v>
      </c>
      <c r="K396">
        <v>2</v>
      </c>
      <c r="L396">
        <v>397.4</v>
      </c>
    </row>
    <row r="397" spans="1:12" x14ac:dyDescent="0.35">
      <c r="A397">
        <v>10396</v>
      </c>
      <c r="B397" t="s">
        <v>262</v>
      </c>
      <c r="C397">
        <v>1851</v>
      </c>
      <c r="D397" t="s">
        <v>12</v>
      </c>
      <c r="E397" t="s">
        <v>13</v>
      </c>
      <c r="F397">
        <v>5</v>
      </c>
      <c r="G397">
        <v>124.14</v>
      </c>
      <c r="H397">
        <v>0.16</v>
      </c>
      <c r="I397" t="s">
        <v>16</v>
      </c>
      <c r="J397">
        <v>2</v>
      </c>
      <c r="K397">
        <v>1.3</v>
      </c>
      <c r="L397">
        <v>521.39</v>
      </c>
    </row>
    <row r="398" spans="1:12" x14ac:dyDescent="0.35">
      <c r="A398">
        <v>10397</v>
      </c>
      <c r="B398" s="1">
        <v>44928</v>
      </c>
      <c r="C398">
        <v>1253</v>
      </c>
      <c r="D398" t="s">
        <v>29</v>
      </c>
      <c r="E398" t="s">
        <v>17</v>
      </c>
      <c r="F398">
        <v>3</v>
      </c>
      <c r="G398">
        <v>387.26</v>
      </c>
      <c r="H398">
        <v>7.0000000000000007E-2</v>
      </c>
      <c r="I398" t="s">
        <v>16</v>
      </c>
      <c r="J398">
        <v>10</v>
      </c>
      <c r="K398">
        <v>3.6</v>
      </c>
      <c r="L398">
        <v>1080.46</v>
      </c>
    </row>
    <row r="399" spans="1:12" x14ac:dyDescent="0.35">
      <c r="A399">
        <v>10398</v>
      </c>
      <c r="B399" s="1">
        <v>44959</v>
      </c>
      <c r="C399">
        <v>1226</v>
      </c>
      <c r="D399" t="s">
        <v>29</v>
      </c>
      <c r="E399" t="s">
        <v>17</v>
      </c>
      <c r="F399">
        <v>7</v>
      </c>
      <c r="G399">
        <v>307.55</v>
      </c>
      <c r="H399">
        <v>0.33</v>
      </c>
      <c r="I399" t="s">
        <v>16</v>
      </c>
      <c r="J399">
        <v>10</v>
      </c>
      <c r="K399">
        <v>3</v>
      </c>
      <c r="L399">
        <v>1442.41</v>
      </c>
    </row>
    <row r="400" spans="1:12" x14ac:dyDescent="0.35">
      <c r="A400">
        <v>10399</v>
      </c>
      <c r="B400" s="1">
        <v>44987</v>
      </c>
      <c r="C400">
        <v>1111</v>
      </c>
      <c r="D400" t="s">
        <v>15</v>
      </c>
      <c r="E400" t="s">
        <v>21</v>
      </c>
      <c r="F400">
        <v>4</v>
      </c>
      <c r="G400">
        <v>75.430000000000007</v>
      </c>
      <c r="H400">
        <v>0.28000000000000003</v>
      </c>
      <c r="I400" t="s">
        <v>14</v>
      </c>
      <c r="J400">
        <v>1</v>
      </c>
      <c r="K400">
        <v>3.3</v>
      </c>
      <c r="L400">
        <v>217.24</v>
      </c>
    </row>
    <row r="401" spans="1:12" x14ac:dyDescent="0.35">
      <c r="A401">
        <v>10400</v>
      </c>
      <c r="B401" s="1">
        <v>45018</v>
      </c>
      <c r="C401">
        <v>1509</v>
      </c>
      <c r="D401" t="s">
        <v>12</v>
      </c>
      <c r="E401" t="s">
        <v>21</v>
      </c>
      <c r="F401">
        <v>1</v>
      </c>
      <c r="G401">
        <v>130.62</v>
      </c>
      <c r="H401">
        <v>0.02</v>
      </c>
      <c r="I401" t="s">
        <v>18</v>
      </c>
      <c r="J401">
        <v>11</v>
      </c>
      <c r="K401">
        <v>1.2</v>
      </c>
      <c r="L401">
        <v>128.01</v>
      </c>
    </row>
    <row r="402" spans="1:12" x14ac:dyDescent="0.35">
      <c r="A402">
        <v>10401</v>
      </c>
      <c r="B402" s="1">
        <v>45048</v>
      </c>
      <c r="C402">
        <v>1472</v>
      </c>
      <c r="D402" t="s">
        <v>15</v>
      </c>
      <c r="E402" t="s">
        <v>17</v>
      </c>
      <c r="F402">
        <v>4</v>
      </c>
      <c r="G402">
        <v>295.58</v>
      </c>
      <c r="H402">
        <v>0.35</v>
      </c>
      <c r="I402" t="s">
        <v>18</v>
      </c>
      <c r="J402">
        <v>10</v>
      </c>
      <c r="K402">
        <v>4.0999999999999996</v>
      </c>
      <c r="L402">
        <v>768.51</v>
      </c>
    </row>
    <row r="403" spans="1:12" x14ac:dyDescent="0.35">
      <c r="A403">
        <v>10402</v>
      </c>
      <c r="B403" s="1">
        <v>45079</v>
      </c>
      <c r="C403">
        <v>1098</v>
      </c>
      <c r="D403" t="s">
        <v>15</v>
      </c>
      <c r="E403" t="s">
        <v>17</v>
      </c>
      <c r="F403">
        <v>4</v>
      </c>
      <c r="G403">
        <v>534.24</v>
      </c>
      <c r="H403">
        <v>0.24</v>
      </c>
      <c r="I403" t="s">
        <v>18</v>
      </c>
      <c r="J403">
        <v>11</v>
      </c>
      <c r="K403">
        <v>1.9</v>
      </c>
      <c r="L403">
        <v>1624.09</v>
      </c>
    </row>
    <row r="404" spans="1:12" x14ac:dyDescent="0.35">
      <c r="A404">
        <v>10403</v>
      </c>
      <c r="B404" s="1">
        <v>45109</v>
      </c>
      <c r="C404">
        <v>1152</v>
      </c>
      <c r="D404" t="s">
        <v>19</v>
      </c>
      <c r="E404" t="s">
        <v>13</v>
      </c>
      <c r="F404">
        <v>6</v>
      </c>
      <c r="G404">
        <v>346.34</v>
      </c>
      <c r="H404">
        <v>0.06</v>
      </c>
      <c r="I404" t="s">
        <v>16</v>
      </c>
      <c r="J404">
        <v>1</v>
      </c>
      <c r="K404">
        <v>2.2999999999999998</v>
      </c>
      <c r="L404">
        <v>1953.36</v>
      </c>
    </row>
    <row r="405" spans="1:12" x14ac:dyDescent="0.35">
      <c r="A405">
        <v>10404</v>
      </c>
      <c r="B405" s="1">
        <v>45140</v>
      </c>
      <c r="C405">
        <v>1860</v>
      </c>
      <c r="D405" t="s">
        <v>29</v>
      </c>
      <c r="E405" t="s">
        <v>13</v>
      </c>
      <c r="F405">
        <v>6</v>
      </c>
      <c r="G405">
        <v>413.7</v>
      </c>
      <c r="H405">
        <v>0.08</v>
      </c>
      <c r="I405" t="s">
        <v>18</v>
      </c>
      <c r="J405">
        <v>4</v>
      </c>
      <c r="K405">
        <v>1.9</v>
      </c>
      <c r="L405">
        <v>2283.62</v>
      </c>
    </row>
    <row r="406" spans="1:12" x14ac:dyDescent="0.35">
      <c r="A406">
        <v>10405</v>
      </c>
      <c r="B406" s="1">
        <v>45171</v>
      </c>
      <c r="C406">
        <v>1913</v>
      </c>
      <c r="D406" t="s">
        <v>29</v>
      </c>
      <c r="E406" t="s">
        <v>21</v>
      </c>
      <c r="F406">
        <v>7</v>
      </c>
      <c r="G406">
        <v>213.33</v>
      </c>
      <c r="H406">
        <v>0.24</v>
      </c>
      <c r="I406" t="s">
        <v>16</v>
      </c>
      <c r="J406">
        <v>4</v>
      </c>
      <c r="K406">
        <v>4.8</v>
      </c>
      <c r="L406">
        <v>1134.92</v>
      </c>
    </row>
    <row r="407" spans="1:12" x14ac:dyDescent="0.35">
      <c r="A407">
        <v>10406</v>
      </c>
      <c r="B407" s="1">
        <v>45201</v>
      </c>
      <c r="C407">
        <v>1895</v>
      </c>
      <c r="D407" t="s">
        <v>15</v>
      </c>
      <c r="E407" t="s">
        <v>13</v>
      </c>
      <c r="F407">
        <v>7</v>
      </c>
      <c r="G407">
        <v>349.28</v>
      </c>
      <c r="H407">
        <v>0.27</v>
      </c>
      <c r="I407" t="s">
        <v>16</v>
      </c>
      <c r="J407">
        <v>9</v>
      </c>
      <c r="K407">
        <v>1.7</v>
      </c>
      <c r="L407">
        <v>1784.82</v>
      </c>
    </row>
    <row r="408" spans="1:12" x14ac:dyDescent="0.35">
      <c r="A408">
        <v>10407</v>
      </c>
      <c r="B408" s="1">
        <v>45232</v>
      </c>
      <c r="C408">
        <v>1877</v>
      </c>
      <c r="D408" t="s">
        <v>19</v>
      </c>
      <c r="E408" t="s">
        <v>21</v>
      </c>
      <c r="F408">
        <v>3</v>
      </c>
      <c r="G408">
        <v>276.72000000000003</v>
      </c>
      <c r="H408">
        <v>0.08</v>
      </c>
      <c r="I408" t="s">
        <v>18</v>
      </c>
      <c r="J408">
        <v>10</v>
      </c>
      <c r="K408">
        <v>3.9</v>
      </c>
      <c r="L408">
        <v>763.75</v>
      </c>
    </row>
    <row r="409" spans="1:12" x14ac:dyDescent="0.35">
      <c r="A409">
        <v>10408</v>
      </c>
      <c r="B409" s="1">
        <v>45262</v>
      </c>
      <c r="C409">
        <v>1337</v>
      </c>
      <c r="D409" t="s">
        <v>29</v>
      </c>
      <c r="E409" t="s">
        <v>21</v>
      </c>
      <c r="F409">
        <v>7</v>
      </c>
      <c r="G409">
        <v>400.59</v>
      </c>
      <c r="H409">
        <v>0.09</v>
      </c>
      <c r="I409" t="s">
        <v>16</v>
      </c>
      <c r="J409">
        <v>1</v>
      </c>
      <c r="K409">
        <v>2</v>
      </c>
      <c r="L409">
        <v>2551.7600000000002</v>
      </c>
    </row>
    <row r="410" spans="1:12" x14ac:dyDescent="0.35">
      <c r="A410">
        <v>10409</v>
      </c>
      <c r="B410" t="s">
        <v>263</v>
      </c>
      <c r="C410">
        <v>1705</v>
      </c>
      <c r="D410" t="s">
        <v>19</v>
      </c>
      <c r="E410" t="s">
        <v>20</v>
      </c>
      <c r="F410">
        <v>3</v>
      </c>
      <c r="G410">
        <v>44.59</v>
      </c>
      <c r="H410">
        <v>0.11</v>
      </c>
      <c r="I410" t="s">
        <v>16</v>
      </c>
      <c r="J410">
        <v>11</v>
      </c>
      <c r="K410">
        <v>2.7</v>
      </c>
      <c r="L410">
        <v>119.06</v>
      </c>
    </row>
    <row r="411" spans="1:12" x14ac:dyDescent="0.35">
      <c r="A411">
        <v>10410</v>
      </c>
      <c r="B411" t="s">
        <v>264</v>
      </c>
      <c r="C411">
        <v>1821</v>
      </c>
      <c r="D411" t="s">
        <v>29</v>
      </c>
      <c r="E411" t="s">
        <v>21</v>
      </c>
      <c r="F411">
        <v>6</v>
      </c>
      <c r="G411">
        <v>303.58</v>
      </c>
      <c r="H411">
        <v>0.21</v>
      </c>
      <c r="I411" t="s">
        <v>14</v>
      </c>
      <c r="J411">
        <v>4</v>
      </c>
      <c r="K411">
        <v>5</v>
      </c>
      <c r="L411">
        <v>1438.97</v>
      </c>
    </row>
    <row r="412" spans="1:12" x14ac:dyDescent="0.35">
      <c r="A412">
        <v>10411</v>
      </c>
      <c r="B412" t="s">
        <v>265</v>
      </c>
      <c r="C412">
        <v>1162</v>
      </c>
      <c r="D412" t="s">
        <v>12</v>
      </c>
      <c r="E412" t="s">
        <v>13</v>
      </c>
      <c r="F412">
        <v>6</v>
      </c>
      <c r="G412">
        <v>188.16</v>
      </c>
      <c r="H412">
        <v>0.06</v>
      </c>
      <c r="I412" t="s">
        <v>18</v>
      </c>
      <c r="J412">
        <v>3</v>
      </c>
      <c r="K412">
        <v>1.4</v>
      </c>
      <c r="L412">
        <v>1061.22</v>
      </c>
    </row>
    <row r="413" spans="1:12" x14ac:dyDescent="0.35">
      <c r="A413">
        <v>10412</v>
      </c>
      <c r="B413" t="s">
        <v>266</v>
      </c>
      <c r="C413">
        <v>1719</v>
      </c>
      <c r="D413" t="s">
        <v>15</v>
      </c>
      <c r="E413" t="s">
        <v>17</v>
      </c>
      <c r="F413">
        <v>2</v>
      </c>
      <c r="G413">
        <v>205.82</v>
      </c>
      <c r="H413">
        <v>0.04</v>
      </c>
      <c r="I413" t="s">
        <v>18</v>
      </c>
      <c r="J413">
        <v>9</v>
      </c>
      <c r="K413">
        <v>4.5</v>
      </c>
      <c r="L413">
        <v>395.17</v>
      </c>
    </row>
    <row r="414" spans="1:12" x14ac:dyDescent="0.35">
      <c r="A414">
        <v>10413</v>
      </c>
      <c r="B414" t="s">
        <v>267</v>
      </c>
      <c r="C414">
        <v>1956</v>
      </c>
      <c r="D414" t="s">
        <v>19</v>
      </c>
      <c r="E414" t="s">
        <v>17</v>
      </c>
      <c r="F414">
        <v>2</v>
      </c>
      <c r="G414">
        <v>577.14</v>
      </c>
      <c r="H414">
        <v>0.24</v>
      </c>
      <c r="I414" t="s">
        <v>16</v>
      </c>
      <c r="J414">
        <v>5</v>
      </c>
      <c r="K414">
        <v>4.8</v>
      </c>
      <c r="L414">
        <v>877.25</v>
      </c>
    </row>
    <row r="415" spans="1:12" x14ac:dyDescent="0.35">
      <c r="A415">
        <v>10414</v>
      </c>
      <c r="B415" t="s">
        <v>268</v>
      </c>
      <c r="C415">
        <v>1680</v>
      </c>
      <c r="D415" t="s">
        <v>29</v>
      </c>
      <c r="E415" t="s">
        <v>13</v>
      </c>
      <c r="F415">
        <v>5</v>
      </c>
      <c r="G415">
        <v>121.88</v>
      </c>
      <c r="H415">
        <v>0.27</v>
      </c>
      <c r="I415" t="s">
        <v>16</v>
      </c>
      <c r="J415">
        <v>9</v>
      </c>
      <c r="K415">
        <v>3.8</v>
      </c>
      <c r="L415">
        <v>444.86</v>
      </c>
    </row>
    <row r="416" spans="1:12" x14ac:dyDescent="0.35">
      <c r="A416">
        <v>10415</v>
      </c>
      <c r="B416" t="s">
        <v>269</v>
      </c>
      <c r="C416">
        <v>1995</v>
      </c>
      <c r="D416" t="s">
        <v>29</v>
      </c>
      <c r="E416" t="s">
        <v>17</v>
      </c>
      <c r="F416">
        <v>6</v>
      </c>
      <c r="G416">
        <v>197.08</v>
      </c>
      <c r="H416">
        <v>0.18</v>
      </c>
      <c r="I416" t="s">
        <v>18</v>
      </c>
      <c r="J416">
        <v>10</v>
      </c>
      <c r="K416">
        <v>1</v>
      </c>
      <c r="L416">
        <v>969.63</v>
      </c>
    </row>
    <row r="417" spans="1:12" x14ac:dyDescent="0.35">
      <c r="A417">
        <v>10416</v>
      </c>
      <c r="B417" t="s">
        <v>270</v>
      </c>
      <c r="C417">
        <v>1160</v>
      </c>
      <c r="D417" t="s">
        <v>15</v>
      </c>
      <c r="E417" t="s">
        <v>21</v>
      </c>
      <c r="F417">
        <v>1</v>
      </c>
      <c r="G417">
        <v>313.29000000000002</v>
      </c>
      <c r="H417">
        <v>0.13</v>
      </c>
      <c r="I417" t="s">
        <v>18</v>
      </c>
      <c r="J417">
        <v>6</v>
      </c>
      <c r="K417">
        <v>4.3</v>
      </c>
      <c r="L417">
        <v>272.56</v>
      </c>
    </row>
    <row r="418" spans="1:12" x14ac:dyDescent="0.35">
      <c r="A418">
        <v>10417</v>
      </c>
      <c r="B418" t="s">
        <v>271</v>
      </c>
      <c r="C418">
        <v>1579</v>
      </c>
      <c r="D418" t="s">
        <v>12</v>
      </c>
      <c r="E418" t="s">
        <v>17</v>
      </c>
      <c r="F418">
        <v>2</v>
      </c>
      <c r="G418">
        <v>519.87</v>
      </c>
      <c r="H418">
        <v>0.15</v>
      </c>
      <c r="I418" t="s">
        <v>18</v>
      </c>
      <c r="J418">
        <v>11</v>
      </c>
      <c r="K418">
        <v>4.5</v>
      </c>
      <c r="L418">
        <v>883.78</v>
      </c>
    </row>
    <row r="419" spans="1:12" x14ac:dyDescent="0.35">
      <c r="A419">
        <v>10418</v>
      </c>
      <c r="B419" t="s">
        <v>272</v>
      </c>
      <c r="C419">
        <v>1800</v>
      </c>
      <c r="D419" t="s">
        <v>19</v>
      </c>
      <c r="E419" t="s">
        <v>13</v>
      </c>
      <c r="F419">
        <v>3</v>
      </c>
      <c r="G419">
        <v>258.75</v>
      </c>
      <c r="H419">
        <v>0.14000000000000001</v>
      </c>
      <c r="I419" t="s">
        <v>14</v>
      </c>
      <c r="J419">
        <v>9</v>
      </c>
      <c r="K419">
        <v>4.9000000000000004</v>
      </c>
      <c r="L419">
        <v>667.58</v>
      </c>
    </row>
    <row r="420" spans="1:12" x14ac:dyDescent="0.35">
      <c r="A420">
        <v>10419</v>
      </c>
      <c r="B420" t="s">
        <v>273</v>
      </c>
      <c r="C420">
        <v>1397</v>
      </c>
      <c r="D420" t="s">
        <v>15</v>
      </c>
      <c r="E420" t="s">
        <v>17</v>
      </c>
      <c r="F420">
        <v>4</v>
      </c>
      <c r="G420">
        <v>450.16</v>
      </c>
      <c r="H420">
        <v>0.34</v>
      </c>
      <c r="I420" t="s">
        <v>14</v>
      </c>
      <c r="J420">
        <v>1</v>
      </c>
      <c r="K420">
        <v>4.4000000000000004</v>
      </c>
      <c r="L420">
        <v>1188.42</v>
      </c>
    </row>
    <row r="421" spans="1:12" x14ac:dyDescent="0.35">
      <c r="A421">
        <v>10420</v>
      </c>
      <c r="B421" t="s">
        <v>274</v>
      </c>
      <c r="C421">
        <v>1276</v>
      </c>
      <c r="D421" t="s">
        <v>29</v>
      </c>
      <c r="E421" t="s">
        <v>21</v>
      </c>
      <c r="F421">
        <v>7</v>
      </c>
      <c r="G421">
        <v>515.98</v>
      </c>
      <c r="H421">
        <v>0.27</v>
      </c>
      <c r="I421" t="s">
        <v>16</v>
      </c>
      <c r="J421">
        <v>4</v>
      </c>
      <c r="K421">
        <v>2.8</v>
      </c>
      <c r="L421">
        <v>2636.66</v>
      </c>
    </row>
    <row r="422" spans="1:12" x14ac:dyDescent="0.35">
      <c r="A422">
        <v>10421</v>
      </c>
      <c r="B422" t="s">
        <v>275</v>
      </c>
      <c r="C422">
        <v>1815</v>
      </c>
      <c r="D422" t="s">
        <v>12</v>
      </c>
      <c r="E422" t="s">
        <v>21</v>
      </c>
      <c r="F422">
        <v>7</v>
      </c>
      <c r="G422">
        <v>196.36</v>
      </c>
      <c r="H422">
        <v>7.0000000000000007E-2</v>
      </c>
      <c r="I422" t="s">
        <v>14</v>
      </c>
      <c r="J422">
        <v>4</v>
      </c>
      <c r="K422">
        <v>3.8</v>
      </c>
      <c r="L422">
        <v>1278.3</v>
      </c>
    </row>
    <row r="423" spans="1:12" x14ac:dyDescent="0.35">
      <c r="A423">
        <v>10422</v>
      </c>
      <c r="B423" t="s">
        <v>276</v>
      </c>
      <c r="C423">
        <v>1915</v>
      </c>
      <c r="D423" t="s">
        <v>19</v>
      </c>
      <c r="E423" t="s">
        <v>13</v>
      </c>
      <c r="F423">
        <v>5</v>
      </c>
      <c r="G423">
        <v>244.76</v>
      </c>
      <c r="H423">
        <v>0.13</v>
      </c>
      <c r="I423" t="s">
        <v>18</v>
      </c>
      <c r="J423">
        <v>10</v>
      </c>
      <c r="K423">
        <v>2.9</v>
      </c>
      <c r="L423">
        <v>1064.71</v>
      </c>
    </row>
    <row r="424" spans="1:12" x14ac:dyDescent="0.35">
      <c r="A424">
        <v>10423</v>
      </c>
      <c r="B424" t="s">
        <v>277</v>
      </c>
      <c r="C424">
        <v>1503</v>
      </c>
      <c r="D424" t="s">
        <v>29</v>
      </c>
      <c r="E424" t="s">
        <v>13</v>
      </c>
      <c r="F424">
        <v>2</v>
      </c>
      <c r="G424">
        <v>223.59</v>
      </c>
      <c r="H424">
        <v>0.19</v>
      </c>
      <c r="I424" t="s">
        <v>18</v>
      </c>
      <c r="J424">
        <v>10</v>
      </c>
      <c r="K424">
        <v>2.4</v>
      </c>
      <c r="L424">
        <v>362.22</v>
      </c>
    </row>
    <row r="425" spans="1:12" x14ac:dyDescent="0.35">
      <c r="A425">
        <v>10424</v>
      </c>
      <c r="B425" t="s">
        <v>278</v>
      </c>
      <c r="C425">
        <v>1895</v>
      </c>
      <c r="D425" t="s">
        <v>15</v>
      </c>
      <c r="E425" t="s">
        <v>13</v>
      </c>
      <c r="F425">
        <v>4</v>
      </c>
      <c r="G425">
        <v>502.22</v>
      </c>
      <c r="H425">
        <v>0.21</v>
      </c>
      <c r="I425" t="s">
        <v>16</v>
      </c>
      <c r="J425">
        <v>6</v>
      </c>
      <c r="K425">
        <v>3.5</v>
      </c>
      <c r="L425">
        <v>1587.02</v>
      </c>
    </row>
    <row r="426" spans="1:12" x14ac:dyDescent="0.35">
      <c r="A426">
        <v>10425</v>
      </c>
      <c r="B426" s="1">
        <v>44929</v>
      </c>
      <c r="C426">
        <v>1391</v>
      </c>
      <c r="D426" t="s">
        <v>15</v>
      </c>
      <c r="E426" t="s">
        <v>20</v>
      </c>
      <c r="F426">
        <v>4</v>
      </c>
      <c r="G426">
        <v>40.94</v>
      </c>
      <c r="H426">
        <v>0.16</v>
      </c>
      <c r="I426" t="s">
        <v>18</v>
      </c>
      <c r="J426">
        <v>10</v>
      </c>
      <c r="K426">
        <v>4.0999999999999996</v>
      </c>
      <c r="L426">
        <v>137.56</v>
      </c>
    </row>
    <row r="427" spans="1:12" x14ac:dyDescent="0.35">
      <c r="A427">
        <v>10426</v>
      </c>
      <c r="B427" s="1">
        <v>44960</v>
      </c>
      <c r="C427">
        <v>1134</v>
      </c>
      <c r="D427" t="s">
        <v>19</v>
      </c>
      <c r="E427" t="s">
        <v>20</v>
      </c>
      <c r="F427">
        <v>2</v>
      </c>
      <c r="G427">
        <v>195.43</v>
      </c>
      <c r="H427">
        <v>0.28000000000000003</v>
      </c>
      <c r="I427" t="s">
        <v>14</v>
      </c>
      <c r="J427">
        <v>1</v>
      </c>
      <c r="K427">
        <v>3.5</v>
      </c>
      <c r="L427">
        <v>281.42</v>
      </c>
    </row>
    <row r="428" spans="1:12" x14ac:dyDescent="0.35">
      <c r="A428">
        <v>10427</v>
      </c>
      <c r="B428" s="1">
        <v>44988</v>
      </c>
      <c r="C428">
        <v>1194</v>
      </c>
      <c r="D428" t="s">
        <v>12</v>
      </c>
      <c r="E428" t="s">
        <v>21</v>
      </c>
      <c r="F428">
        <v>1</v>
      </c>
      <c r="G428">
        <v>412.45</v>
      </c>
      <c r="H428">
        <v>0.27</v>
      </c>
      <c r="I428" t="s">
        <v>18</v>
      </c>
      <c r="J428">
        <v>10</v>
      </c>
      <c r="K428">
        <v>4.3</v>
      </c>
      <c r="L428">
        <v>301.08999999999997</v>
      </c>
    </row>
    <row r="429" spans="1:12" x14ac:dyDescent="0.35">
      <c r="A429">
        <v>10428</v>
      </c>
      <c r="B429" s="1">
        <v>45019</v>
      </c>
      <c r="C429">
        <v>1400</v>
      </c>
      <c r="D429" t="s">
        <v>19</v>
      </c>
      <c r="E429" t="s">
        <v>20</v>
      </c>
      <c r="F429">
        <v>1</v>
      </c>
      <c r="G429">
        <v>345.78</v>
      </c>
      <c r="H429">
        <v>0.18</v>
      </c>
      <c r="I429" t="s">
        <v>18</v>
      </c>
      <c r="J429">
        <v>5</v>
      </c>
      <c r="K429">
        <v>1.7</v>
      </c>
      <c r="L429">
        <v>283.54000000000002</v>
      </c>
    </row>
    <row r="430" spans="1:12" x14ac:dyDescent="0.35">
      <c r="A430">
        <v>10429</v>
      </c>
      <c r="B430" s="1">
        <v>45049</v>
      </c>
      <c r="C430">
        <v>1639</v>
      </c>
      <c r="D430" t="s">
        <v>19</v>
      </c>
      <c r="E430" t="s">
        <v>20</v>
      </c>
      <c r="F430">
        <v>5</v>
      </c>
      <c r="G430">
        <v>270.23</v>
      </c>
      <c r="H430">
        <v>0.3</v>
      </c>
      <c r="I430" t="s">
        <v>16</v>
      </c>
      <c r="J430">
        <v>3</v>
      </c>
      <c r="K430">
        <v>2.5</v>
      </c>
      <c r="L430">
        <v>945.8</v>
      </c>
    </row>
    <row r="431" spans="1:12" x14ac:dyDescent="0.35">
      <c r="A431">
        <v>10430</v>
      </c>
      <c r="B431" s="1">
        <v>45080</v>
      </c>
      <c r="C431">
        <v>1032</v>
      </c>
      <c r="D431" t="s">
        <v>19</v>
      </c>
      <c r="E431" t="s">
        <v>17</v>
      </c>
      <c r="F431">
        <v>1</v>
      </c>
      <c r="G431">
        <v>330.87</v>
      </c>
      <c r="H431">
        <v>0.26</v>
      </c>
      <c r="I431" t="s">
        <v>16</v>
      </c>
      <c r="J431">
        <v>1</v>
      </c>
      <c r="K431">
        <v>2.2999999999999998</v>
      </c>
      <c r="L431">
        <v>244.84</v>
      </c>
    </row>
    <row r="432" spans="1:12" x14ac:dyDescent="0.35">
      <c r="A432">
        <v>10431</v>
      </c>
      <c r="B432" s="1">
        <v>45110</v>
      </c>
      <c r="C432">
        <v>1687</v>
      </c>
      <c r="D432" t="s">
        <v>12</v>
      </c>
      <c r="E432" t="s">
        <v>20</v>
      </c>
      <c r="F432">
        <v>5</v>
      </c>
      <c r="G432">
        <v>130.59</v>
      </c>
      <c r="H432">
        <v>0.27</v>
      </c>
      <c r="I432" t="s">
        <v>16</v>
      </c>
      <c r="J432">
        <v>6</v>
      </c>
      <c r="K432">
        <v>1.8</v>
      </c>
      <c r="L432">
        <v>476.65</v>
      </c>
    </row>
    <row r="433" spans="1:12" x14ac:dyDescent="0.35">
      <c r="A433">
        <v>10432</v>
      </c>
      <c r="B433" s="1">
        <v>45141</v>
      </c>
      <c r="C433">
        <v>1459</v>
      </c>
      <c r="D433" t="s">
        <v>29</v>
      </c>
      <c r="E433" t="s">
        <v>17</v>
      </c>
      <c r="F433">
        <v>3</v>
      </c>
      <c r="G433">
        <v>266.97000000000003</v>
      </c>
      <c r="H433">
        <v>0.33</v>
      </c>
      <c r="I433" t="s">
        <v>16</v>
      </c>
      <c r="J433">
        <v>3</v>
      </c>
      <c r="K433">
        <v>2.8</v>
      </c>
      <c r="L433">
        <v>536.61</v>
      </c>
    </row>
    <row r="434" spans="1:12" x14ac:dyDescent="0.35">
      <c r="A434">
        <v>10433</v>
      </c>
      <c r="B434" s="1">
        <v>45172</v>
      </c>
      <c r="C434">
        <v>1954</v>
      </c>
      <c r="D434" t="s">
        <v>29</v>
      </c>
      <c r="E434" t="s">
        <v>13</v>
      </c>
      <c r="F434">
        <v>2</v>
      </c>
      <c r="G434">
        <v>308.5</v>
      </c>
      <c r="H434">
        <v>0.09</v>
      </c>
      <c r="I434" t="s">
        <v>18</v>
      </c>
      <c r="J434">
        <v>4</v>
      </c>
      <c r="K434">
        <v>4.8</v>
      </c>
      <c r="L434">
        <v>561.47</v>
      </c>
    </row>
    <row r="435" spans="1:12" x14ac:dyDescent="0.35">
      <c r="A435">
        <v>10434</v>
      </c>
      <c r="B435" s="1">
        <v>45202</v>
      </c>
      <c r="C435">
        <v>1882</v>
      </c>
      <c r="D435" t="s">
        <v>19</v>
      </c>
      <c r="E435" t="s">
        <v>17</v>
      </c>
      <c r="F435">
        <v>4</v>
      </c>
      <c r="G435">
        <v>542.20000000000005</v>
      </c>
      <c r="H435">
        <v>0.09</v>
      </c>
      <c r="I435" t="s">
        <v>16</v>
      </c>
      <c r="J435">
        <v>9</v>
      </c>
      <c r="K435">
        <v>3.2</v>
      </c>
      <c r="L435">
        <v>1973.61</v>
      </c>
    </row>
    <row r="436" spans="1:12" x14ac:dyDescent="0.35">
      <c r="A436">
        <v>10435</v>
      </c>
      <c r="B436" s="1">
        <v>45233</v>
      </c>
      <c r="C436">
        <v>1469</v>
      </c>
      <c r="D436" t="s">
        <v>15</v>
      </c>
      <c r="E436" t="s">
        <v>17</v>
      </c>
      <c r="F436">
        <v>5</v>
      </c>
      <c r="G436">
        <v>167.59</v>
      </c>
      <c r="H436">
        <v>0.31</v>
      </c>
      <c r="I436" t="s">
        <v>18</v>
      </c>
      <c r="J436">
        <v>2</v>
      </c>
      <c r="K436">
        <v>2.1</v>
      </c>
      <c r="L436">
        <v>578.19000000000005</v>
      </c>
    </row>
    <row r="437" spans="1:12" x14ac:dyDescent="0.35">
      <c r="A437">
        <v>10436</v>
      </c>
      <c r="B437" s="1">
        <v>45263</v>
      </c>
      <c r="C437">
        <v>1374</v>
      </c>
      <c r="D437" t="s">
        <v>15</v>
      </c>
      <c r="E437" t="s">
        <v>13</v>
      </c>
      <c r="F437">
        <v>7</v>
      </c>
      <c r="G437">
        <v>522.67999999999995</v>
      </c>
      <c r="H437">
        <v>0.27</v>
      </c>
      <c r="I437" t="s">
        <v>16</v>
      </c>
      <c r="J437">
        <v>1</v>
      </c>
      <c r="K437">
        <v>2.4</v>
      </c>
      <c r="L437">
        <v>2670.89</v>
      </c>
    </row>
    <row r="438" spans="1:12" x14ac:dyDescent="0.35">
      <c r="A438">
        <v>10437</v>
      </c>
      <c r="B438" t="s">
        <v>279</v>
      </c>
      <c r="C438">
        <v>1021</v>
      </c>
      <c r="D438" t="s">
        <v>29</v>
      </c>
      <c r="E438" t="s">
        <v>13</v>
      </c>
      <c r="F438">
        <v>1</v>
      </c>
      <c r="G438">
        <v>391.88</v>
      </c>
      <c r="H438">
        <v>0.32</v>
      </c>
      <c r="I438" t="s">
        <v>16</v>
      </c>
      <c r="J438">
        <v>10</v>
      </c>
      <c r="K438">
        <v>3.5</v>
      </c>
      <c r="L438">
        <v>266.48</v>
      </c>
    </row>
    <row r="439" spans="1:12" x14ac:dyDescent="0.35">
      <c r="A439">
        <v>10438</v>
      </c>
      <c r="B439" t="s">
        <v>280</v>
      </c>
      <c r="C439">
        <v>1749</v>
      </c>
      <c r="D439" t="s">
        <v>12</v>
      </c>
      <c r="E439" t="s">
        <v>21</v>
      </c>
      <c r="F439">
        <v>7</v>
      </c>
      <c r="G439">
        <v>26.9</v>
      </c>
      <c r="H439">
        <v>0.02</v>
      </c>
      <c r="I439" t="s">
        <v>16</v>
      </c>
      <c r="J439">
        <v>6</v>
      </c>
      <c r="K439">
        <v>2.4</v>
      </c>
      <c r="L439">
        <v>184.53</v>
      </c>
    </row>
    <row r="440" spans="1:12" x14ac:dyDescent="0.35">
      <c r="A440">
        <v>10439</v>
      </c>
      <c r="B440" t="s">
        <v>281</v>
      </c>
      <c r="C440">
        <v>1669</v>
      </c>
      <c r="D440" t="s">
        <v>19</v>
      </c>
      <c r="E440" t="s">
        <v>21</v>
      </c>
      <c r="F440">
        <v>5</v>
      </c>
      <c r="G440">
        <v>438.91</v>
      </c>
      <c r="H440">
        <v>0.22</v>
      </c>
      <c r="I440" t="s">
        <v>14</v>
      </c>
      <c r="J440">
        <v>1</v>
      </c>
      <c r="K440">
        <v>3.2</v>
      </c>
      <c r="L440">
        <v>1711.75</v>
      </c>
    </row>
    <row r="441" spans="1:12" x14ac:dyDescent="0.35">
      <c r="A441">
        <v>10440</v>
      </c>
      <c r="B441" t="s">
        <v>282</v>
      </c>
      <c r="C441">
        <v>1037</v>
      </c>
      <c r="D441" t="s">
        <v>29</v>
      </c>
      <c r="E441" t="s">
        <v>21</v>
      </c>
      <c r="F441">
        <v>6</v>
      </c>
      <c r="G441">
        <v>35.799999999999997</v>
      </c>
      <c r="H441">
        <v>0.05</v>
      </c>
      <c r="I441" t="s">
        <v>16</v>
      </c>
      <c r="J441">
        <v>1</v>
      </c>
      <c r="K441">
        <v>2.1</v>
      </c>
      <c r="L441">
        <v>204.06</v>
      </c>
    </row>
    <row r="442" spans="1:12" x14ac:dyDescent="0.35">
      <c r="A442">
        <v>10441</v>
      </c>
      <c r="B442" t="s">
        <v>283</v>
      </c>
      <c r="C442">
        <v>1229</v>
      </c>
      <c r="D442" t="s">
        <v>19</v>
      </c>
      <c r="E442" t="s">
        <v>21</v>
      </c>
      <c r="F442">
        <v>5</v>
      </c>
      <c r="G442">
        <v>598.47</v>
      </c>
      <c r="H442">
        <v>0.18</v>
      </c>
      <c r="I442" t="s">
        <v>16</v>
      </c>
      <c r="J442">
        <v>7</v>
      </c>
      <c r="K442">
        <v>2.4</v>
      </c>
      <c r="L442">
        <v>2453.73</v>
      </c>
    </row>
    <row r="443" spans="1:12" x14ac:dyDescent="0.35">
      <c r="A443">
        <v>10442</v>
      </c>
      <c r="B443" t="s">
        <v>284</v>
      </c>
      <c r="C443">
        <v>1364</v>
      </c>
      <c r="D443" t="s">
        <v>15</v>
      </c>
      <c r="E443" t="s">
        <v>17</v>
      </c>
      <c r="F443">
        <v>1</v>
      </c>
      <c r="G443">
        <v>525.49</v>
      </c>
      <c r="H443">
        <v>0.05</v>
      </c>
      <c r="I443" t="s">
        <v>14</v>
      </c>
      <c r="J443">
        <v>2</v>
      </c>
      <c r="K443">
        <v>3.8</v>
      </c>
      <c r="L443">
        <v>499.22</v>
      </c>
    </row>
    <row r="444" spans="1:12" x14ac:dyDescent="0.35">
      <c r="A444">
        <v>10443</v>
      </c>
      <c r="B444" t="s">
        <v>285</v>
      </c>
      <c r="C444">
        <v>1562</v>
      </c>
      <c r="D444" t="s">
        <v>19</v>
      </c>
      <c r="E444" t="s">
        <v>17</v>
      </c>
      <c r="F444">
        <v>6</v>
      </c>
      <c r="G444">
        <v>188.95</v>
      </c>
      <c r="H444">
        <v>0.04</v>
      </c>
      <c r="I444" t="s">
        <v>14</v>
      </c>
      <c r="J444">
        <v>4</v>
      </c>
      <c r="K444">
        <v>3.3</v>
      </c>
      <c r="L444">
        <v>1088.3499999999999</v>
      </c>
    </row>
    <row r="445" spans="1:12" x14ac:dyDescent="0.35">
      <c r="A445">
        <v>10444</v>
      </c>
      <c r="B445" t="s">
        <v>286</v>
      </c>
      <c r="C445">
        <v>1437</v>
      </c>
      <c r="D445" t="s">
        <v>19</v>
      </c>
      <c r="E445" t="s">
        <v>21</v>
      </c>
      <c r="F445">
        <v>6</v>
      </c>
      <c r="G445">
        <v>165.59</v>
      </c>
      <c r="H445">
        <v>0</v>
      </c>
      <c r="I445" t="s">
        <v>18</v>
      </c>
      <c r="J445">
        <v>4</v>
      </c>
      <c r="K445">
        <v>1.4</v>
      </c>
      <c r="L445">
        <v>993.54</v>
      </c>
    </row>
    <row r="446" spans="1:12" x14ac:dyDescent="0.35">
      <c r="A446">
        <v>10445</v>
      </c>
      <c r="B446" t="s">
        <v>287</v>
      </c>
      <c r="C446">
        <v>1775</v>
      </c>
      <c r="D446" t="s">
        <v>15</v>
      </c>
      <c r="E446" t="s">
        <v>20</v>
      </c>
      <c r="F446">
        <v>1</v>
      </c>
      <c r="G446">
        <v>238.14</v>
      </c>
      <c r="H446">
        <v>0.22</v>
      </c>
      <c r="I446" t="s">
        <v>16</v>
      </c>
      <c r="J446">
        <v>2</v>
      </c>
      <c r="K446">
        <v>4.9000000000000004</v>
      </c>
      <c r="L446">
        <v>185.75</v>
      </c>
    </row>
    <row r="447" spans="1:12" x14ac:dyDescent="0.35">
      <c r="A447">
        <v>10446</v>
      </c>
      <c r="B447" t="s">
        <v>288</v>
      </c>
      <c r="C447">
        <v>1282</v>
      </c>
      <c r="D447" t="s">
        <v>15</v>
      </c>
      <c r="E447" t="s">
        <v>21</v>
      </c>
      <c r="F447">
        <v>6</v>
      </c>
      <c r="G447">
        <v>223.36</v>
      </c>
      <c r="H447">
        <v>0.13</v>
      </c>
      <c r="I447" t="s">
        <v>16</v>
      </c>
      <c r="J447">
        <v>6</v>
      </c>
      <c r="K447">
        <v>1.2</v>
      </c>
      <c r="L447">
        <v>1165.94</v>
      </c>
    </row>
    <row r="448" spans="1:12" x14ac:dyDescent="0.35">
      <c r="A448">
        <v>10447</v>
      </c>
      <c r="B448" t="s">
        <v>289</v>
      </c>
      <c r="C448">
        <v>1026</v>
      </c>
      <c r="D448" t="s">
        <v>19</v>
      </c>
      <c r="E448" t="s">
        <v>20</v>
      </c>
      <c r="F448">
        <v>2</v>
      </c>
      <c r="G448">
        <v>232.82</v>
      </c>
      <c r="H448">
        <v>0.04</v>
      </c>
      <c r="I448" t="s">
        <v>14</v>
      </c>
      <c r="J448">
        <v>10</v>
      </c>
      <c r="K448">
        <v>1.3</v>
      </c>
      <c r="L448">
        <v>447.01</v>
      </c>
    </row>
    <row r="449" spans="1:12" x14ac:dyDescent="0.35">
      <c r="A449">
        <v>10448</v>
      </c>
      <c r="B449" t="s">
        <v>290</v>
      </c>
      <c r="C449">
        <v>1225</v>
      </c>
      <c r="D449" t="s">
        <v>29</v>
      </c>
      <c r="E449" t="s">
        <v>13</v>
      </c>
      <c r="F449">
        <v>4</v>
      </c>
      <c r="G449">
        <v>201.19</v>
      </c>
      <c r="H449">
        <v>0.11</v>
      </c>
      <c r="I449" t="s">
        <v>14</v>
      </c>
      <c r="J449">
        <v>2</v>
      </c>
      <c r="K449">
        <v>3.8</v>
      </c>
      <c r="L449">
        <v>716.24</v>
      </c>
    </row>
    <row r="450" spans="1:12" x14ac:dyDescent="0.35">
      <c r="A450">
        <v>10449</v>
      </c>
      <c r="B450" t="s">
        <v>291</v>
      </c>
      <c r="C450">
        <v>1276</v>
      </c>
      <c r="D450" t="s">
        <v>15</v>
      </c>
      <c r="E450" t="s">
        <v>17</v>
      </c>
      <c r="F450">
        <v>7</v>
      </c>
      <c r="G450">
        <v>378.36</v>
      </c>
      <c r="H450">
        <v>0.06</v>
      </c>
      <c r="I450" t="s">
        <v>18</v>
      </c>
      <c r="J450">
        <v>8</v>
      </c>
      <c r="K450">
        <v>3.8</v>
      </c>
      <c r="L450">
        <v>2489.61</v>
      </c>
    </row>
    <row r="451" spans="1:12" x14ac:dyDescent="0.35">
      <c r="A451">
        <v>10450</v>
      </c>
      <c r="B451" t="s">
        <v>292</v>
      </c>
      <c r="C451">
        <v>1797</v>
      </c>
      <c r="D451" t="s">
        <v>19</v>
      </c>
      <c r="E451" t="s">
        <v>17</v>
      </c>
      <c r="F451">
        <v>2</v>
      </c>
      <c r="G451">
        <v>111.09</v>
      </c>
      <c r="H451">
        <v>0.33</v>
      </c>
      <c r="I451" t="s">
        <v>16</v>
      </c>
      <c r="J451">
        <v>4</v>
      </c>
      <c r="K451">
        <v>1.1000000000000001</v>
      </c>
      <c r="L451">
        <v>148.86000000000001</v>
      </c>
    </row>
    <row r="452" spans="1:12" x14ac:dyDescent="0.35">
      <c r="A452">
        <v>10451</v>
      </c>
      <c r="B452" t="s">
        <v>293</v>
      </c>
      <c r="C452">
        <v>1608</v>
      </c>
      <c r="D452" t="s">
        <v>29</v>
      </c>
      <c r="E452" t="s">
        <v>20</v>
      </c>
      <c r="F452">
        <v>2</v>
      </c>
      <c r="G452">
        <v>509.9</v>
      </c>
      <c r="H452">
        <v>0.11</v>
      </c>
      <c r="I452" t="s">
        <v>16</v>
      </c>
      <c r="J452">
        <v>1</v>
      </c>
      <c r="K452">
        <v>3.6</v>
      </c>
      <c r="L452">
        <v>907.62</v>
      </c>
    </row>
    <row r="453" spans="1:12" x14ac:dyDescent="0.35">
      <c r="A453">
        <v>10452</v>
      </c>
      <c r="B453" t="s">
        <v>294</v>
      </c>
      <c r="C453">
        <v>1283</v>
      </c>
      <c r="D453" t="s">
        <v>19</v>
      </c>
      <c r="E453" t="s">
        <v>21</v>
      </c>
      <c r="F453">
        <v>1</v>
      </c>
      <c r="G453">
        <v>490.26</v>
      </c>
      <c r="H453">
        <v>0.12</v>
      </c>
      <c r="I453" t="s">
        <v>16</v>
      </c>
      <c r="J453">
        <v>7</v>
      </c>
      <c r="K453">
        <v>1.1000000000000001</v>
      </c>
      <c r="L453">
        <v>431.43</v>
      </c>
    </row>
    <row r="454" spans="1:12" x14ac:dyDescent="0.35">
      <c r="A454">
        <v>10453</v>
      </c>
      <c r="B454" t="s">
        <v>295</v>
      </c>
      <c r="C454">
        <v>1878</v>
      </c>
      <c r="D454" t="s">
        <v>15</v>
      </c>
      <c r="E454" t="s">
        <v>17</v>
      </c>
      <c r="F454">
        <v>1</v>
      </c>
      <c r="G454">
        <v>293.74</v>
      </c>
      <c r="H454">
        <v>0.28999999999999998</v>
      </c>
      <c r="I454" t="s">
        <v>18</v>
      </c>
      <c r="J454">
        <v>6</v>
      </c>
      <c r="K454">
        <v>4.8</v>
      </c>
      <c r="L454">
        <v>208.56</v>
      </c>
    </row>
    <row r="455" spans="1:12" x14ac:dyDescent="0.35">
      <c r="A455">
        <v>10454</v>
      </c>
      <c r="B455" t="s">
        <v>296</v>
      </c>
      <c r="C455">
        <v>1959</v>
      </c>
      <c r="D455" t="s">
        <v>29</v>
      </c>
      <c r="E455" t="s">
        <v>20</v>
      </c>
      <c r="F455">
        <v>7</v>
      </c>
      <c r="G455">
        <v>513.85</v>
      </c>
      <c r="H455">
        <v>0.23</v>
      </c>
      <c r="I455" t="s">
        <v>16</v>
      </c>
      <c r="J455">
        <v>6</v>
      </c>
      <c r="K455">
        <v>3.8</v>
      </c>
      <c r="L455">
        <v>2769.65</v>
      </c>
    </row>
    <row r="456" spans="1:12" x14ac:dyDescent="0.35">
      <c r="A456">
        <v>10455</v>
      </c>
      <c r="B456" t="s">
        <v>297</v>
      </c>
      <c r="C456">
        <v>1480</v>
      </c>
      <c r="D456" t="s">
        <v>19</v>
      </c>
      <c r="E456" t="s">
        <v>13</v>
      </c>
      <c r="F456">
        <v>4</v>
      </c>
      <c r="G456">
        <v>159.58000000000001</v>
      </c>
      <c r="H456">
        <v>0.25</v>
      </c>
      <c r="I456" t="s">
        <v>14</v>
      </c>
      <c r="J456">
        <v>11</v>
      </c>
      <c r="K456">
        <v>1.7</v>
      </c>
      <c r="L456">
        <v>478.74</v>
      </c>
    </row>
    <row r="457" spans="1:12" x14ac:dyDescent="0.35">
      <c r="A457">
        <v>10456</v>
      </c>
      <c r="B457" s="1">
        <v>44930</v>
      </c>
      <c r="C457">
        <v>1452</v>
      </c>
      <c r="D457" t="s">
        <v>19</v>
      </c>
      <c r="E457" t="s">
        <v>13</v>
      </c>
      <c r="F457">
        <v>5</v>
      </c>
      <c r="G457">
        <v>25.28</v>
      </c>
      <c r="H457">
        <v>0.22</v>
      </c>
      <c r="I457" t="s">
        <v>16</v>
      </c>
      <c r="J457">
        <v>3</v>
      </c>
      <c r="K457">
        <v>1.6</v>
      </c>
      <c r="L457">
        <v>98.59</v>
      </c>
    </row>
    <row r="458" spans="1:12" x14ac:dyDescent="0.35">
      <c r="A458">
        <v>10457</v>
      </c>
      <c r="B458" s="1">
        <v>44961</v>
      </c>
      <c r="C458">
        <v>1828</v>
      </c>
      <c r="D458" t="s">
        <v>15</v>
      </c>
      <c r="E458" t="s">
        <v>17</v>
      </c>
      <c r="F458">
        <v>2</v>
      </c>
      <c r="G458">
        <v>377.24</v>
      </c>
      <c r="H458">
        <v>0.33</v>
      </c>
      <c r="I458" t="s">
        <v>18</v>
      </c>
      <c r="J458">
        <v>10</v>
      </c>
      <c r="K458">
        <v>3.3</v>
      </c>
      <c r="L458">
        <v>505.5</v>
      </c>
    </row>
    <row r="459" spans="1:12" x14ac:dyDescent="0.35">
      <c r="A459">
        <v>10458</v>
      </c>
      <c r="B459" s="1">
        <v>44989</v>
      </c>
      <c r="C459">
        <v>1815</v>
      </c>
      <c r="D459" t="s">
        <v>12</v>
      </c>
      <c r="E459" t="s">
        <v>21</v>
      </c>
      <c r="F459">
        <v>6</v>
      </c>
      <c r="G459">
        <v>282.88</v>
      </c>
      <c r="H459">
        <v>7.0000000000000007E-2</v>
      </c>
      <c r="I459" t="s">
        <v>16</v>
      </c>
      <c r="J459">
        <v>7</v>
      </c>
      <c r="K459">
        <v>3.5</v>
      </c>
      <c r="L459">
        <v>1578.47</v>
      </c>
    </row>
    <row r="460" spans="1:12" x14ac:dyDescent="0.35">
      <c r="A460">
        <v>10459</v>
      </c>
      <c r="B460" s="1">
        <v>45020</v>
      </c>
      <c r="C460">
        <v>1658</v>
      </c>
      <c r="D460" t="s">
        <v>15</v>
      </c>
      <c r="E460" t="s">
        <v>20</v>
      </c>
      <c r="F460">
        <v>4</v>
      </c>
      <c r="G460">
        <v>346.79</v>
      </c>
      <c r="H460">
        <v>0.35</v>
      </c>
      <c r="I460" t="s">
        <v>18</v>
      </c>
      <c r="J460">
        <v>6</v>
      </c>
      <c r="K460">
        <v>4.3</v>
      </c>
      <c r="L460">
        <v>901.65</v>
      </c>
    </row>
    <row r="461" spans="1:12" x14ac:dyDescent="0.35">
      <c r="A461">
        <v>10460</v>
      </c>
      <c r="B461" s="1">
        <v>45050</v>
      </c>
      <c r="C461">
        <v>1515</v>
      </c>
      <c r="D461" t="s">
        <v>29</v>
      </c>
      <c r="E461" t="s">
        <v>17</v>
      </c>
      <c r="F461">
        <v>2</v>
      </c>
      <c r="G461">
        <v>541.11</v>
      </c>
      <c r="H461">
        <v>0.28999999999999998</v>
      </c>
      <c r="I461" t="s">
        <v>16</v>
      </c>
      <c r="J461">
        <v>10</v>
      </c>
      <c r="K461">
        <v>4.5999999999999996</v>
      </c>
      <c r="L461">
        <v>768.38</v>
      </c>
    </row>
    <row r="462" spans="1:12" x14ac:dyDescent="0.35">
      <c r="A462">
        <v>10461</v>
      </c>
      <c r="B462" s="1">
        <v>45081</v>
      </c>
      <c r="C462">
        <v>1546</v>
      </c>
      <c r="D462" t="s">
        <v>15</v>
      </c>
      <c r="E462" t="s">
        <v>13</v>
      </c>
      <c r="F462">
        <v>5</v>
      </c>
      <c r="G462">
        <v>582.41</v>
      </c>
      <c r="H462">
        <v>0.21</v>
      </c>
      <c r="I462" t="s">
        <v>18</v>
      </c>
      <c r="J462">
        <v>10</v>
      </c>
      <c r="K462">
        <v>2.6</v>
      </c>
      <c r="L462">
        <v>2300.52</v>
      </c>
    </row>
    <row r="463" spans="1:12" x14ac:dyDescent="0.35">
      <c r="A463">
        <v>10462</v>
      </c>
      <c r="B463" s="1">
        <v>45111</v>
      </c>
      <c r="C463">
        <v>1191</v>
      </c>
      <c r="D463" t="s">
        <v>19</v>
      </c>
      <c r="E463" t="s">
        <v>21</v>
      </c>
      <c r="F463">
        <v>6</v>
      </c>
      <c r="G463">
        <v>386.16</v>
      </c>
      <c r="H463">
        <v>0.23</v>
      </c>
      <c r="I463" t="s">
        <v>18</v>
      </c>
      <c r="J463">
        <v>9</v>
      </c>
      <c r="K463">
        <v>4.4000000000000004</v>
      </c>
      <c r="L463">
        <v>1784.06</v>
      </c>
    </row>
    <row r="464" spans="1:12" x14ac:dyDescent="0.35">
      <c r="A464">
        <v>10463</v>
      </c>
      <c r="B464" s="1">
        <v>45142</v>
      </c>
      <c r="C464">
        <v>1048</v>
      </c>
      <c r="D464" t="s">
        <v>15</v>
      </c>
      <c r="E464" t="s">
        <v>20</v>
      </c>
      <c r="F464">
        <v>2</v>
      </c>
      <c r="G464">
        <v>461.97</v>
      </c>
      <c r="H464">
        <v>0.23</v>
      </c>
      <c r="I464" t="s">
        <v>16</v>
      </c>
      <c r="J464">
        <v>3</v>
      </c>
      <c r="K464">
        <v>3.2</v>
      </c>
      <c r="L464">
        <v>711.43</v>
      </c>
    </row>
    <row r="465" spans="1:12" x14ac:dyDescent="0.35">
      <c r="A465">
        <v>10464</v>
      </c>
      <c r="B465" s="1">
        <v>45173</v>
      </c>
      <c r="C465">
        <v>1511</v>
      </c>
      <c r="D465" t="s">
        <v>29</v>
      </c>
      <c r="E465" t="s">
        <v>17</v>
      </c>
      <c r="F465">
        <v>3</v>
      </c>
      <c r="G465">
        <v>64.03</v>
      </c>
      <c r="H465">
        <v>0.02</v>
      </c>
      <c r="I465" t="s">
        <v>14</v>
      </c>
      <c r="J465">
        <v>3</v>
      </c>
      <c r="K465">
        <v>2.9</v>
      </c>
      <c r="L465">
        <v>188.25</v>
      </c>
    </row>
    <row r="466" spans="1:12" x14ac:dyDescent="0.35">
      <c r="A466">
        <v>10465</v>
      </c>
      <c r="B466" s="1">
        <v>45203</v>
      </c>
      <c r="C466">
        <v>1016</v>
      </c>
      <c r="D466" t="s">
        <v>19</v>
      </c>
      <c r="E466" t="s">
        <v>20</v>
      </c>
      <c r="F466">
        <v>7</v>
      </c>
      <c r="G466">
        <v>109.02</v>
      </c>
      <c r="H466">
        <v>0.08</v>
      </c>
      <c r="I466" t="s">
        <v>18</v>
      </c>
      <c r="J466">
        <v>4</v>
      </c>
      <c r="K466">
        <v>3.8</v>
      </c>
      <c r="L466">
        <v>702.09</v>
      </c>
    </row>
    <row r="467" spans="1:12" x14ac:dyDescent="0.35">
      <c r="A467">
        <v>10466</v>
      </c>
      <c r="B467" s="1">
        <v>45234</v>
      </c>
      <c r="C467">
        <v>1171</v>
      </c>
      <c r="D467" t="s">
        <v>19</v>
      </c>
      <c r="E467" t="s">
        <v>21</v>
      </c>
      <c r="F467">
        <v>4</v>
      </c>
      <c r="G467">
        <v>443.92</v>
      </c>
      <c r="H467">
        <v>0.34</v>
      </c>
      <c r="I467" t="s">
        <v>14</v>
      </c>
      <c r="J467">
        <v>3</v>
      </c>
      <c r="K467">
        <v>1.4</v>
      </c>
      <c r="L467">
        <v>1171.95</v>
      </c>
    </row>
    <row r="468" spans="1:12" x14ac:dyDescent="0.35">
      <c r="A468">
        <v>10467</v>
      </c>
      <c r="B468" s="1">
        <v>45264</v>
      </c>
      <c r="C468">
        <v>1219</v>
      </c>
      <c r="D468" t="s">
        <v>19</v>
      </c>
      <c r="E468" t="s">
        <v>21</v>
      </c>
      <c r="F468">
        <v>7</v>
      </c>
      <c r="G468">
        <v>267.35000000000002</v>
      </c>
      <c r="H468">
        <v>0.19</v>
      </c>
      <c r="I468" t="s">
        <v>14</v>
      </c>
      <c r="J468">
        <v>4</v>
      </c>
      <c r="K468">
        <v>2.1</v>
      </c>
      <c r="L468">
        <v>1515.87</v>
      </c>
    </row>
    <row r="469" spans="1:12" x14ac:dyDescent="0.35">
      <c r="A469">
        <v>10468</v>
      </c>
      <c r="B469" t="s">
        <v>298</v>
      </c>
      <c r="C469">
        <v>1157</v>
      </c>
      <c r="D469" t="s">
        <v>15</v>
      </c>
      <c r="E469" t="s">
        <v>13</v>
      </c>
      <c r="F469">
        <v>1</v>
      </c>
      <c r="G469">
        <v>275.89</v>
      </c>
      <c r="H469">
        <v>0.13</v>
      </c>
      <c r="I469" t="s">
        <v>14</v>
      </c>
      <c r="J469">
        <v>6</v>
      </c>
      <c r="K469">
        <v>4.3</v>
      </c>
      <c r="L469">
        <v>240.02</v>
      </c>
    </row>
    <row r="470" spans="1:12" x14ac:dyDescent="0.35">
      <c r="A470">
        <v>10469</v>
      </c>
      <c r="B470" t="s">
        <v>299</v>
      </c>
      <c r="C470">
        <v>1476</v>
      </c>
      <c r="D470" t="s">
        <v>12</v>
      </c>
      <c r="E470" t="s">
        <v>21</v>
      </c>
      <c r="F470">
        <v>2</v>
      </c>
      <c r="G470">
        <v>195.54</v>
      </c>
      <c r="H470">
        <v>0.27</v>
      </c>
      <c r="I470" t="s">
        <v>16</v>
      </c>
      <c r="J470">
        <v>1</v>
      </c>
      <c r="K470">
        <v>3</v>
      </c>
      <c r="L470">
        <v>285.49</v>
      </c>
    </row>
    <row r="471" spans="1:12" x14ac:dyDescent="0.35">
      <c r="A471">
        <v>10470</v>
      </c>
      <c r="B471" t="s">
        <v>300</v>
      </c>
      <c r="C471">
        <v>1045</v>
      </c>
      <c r="D471" t="s">
        <v>19</v>
      </c>
      <c r="E471" t="s">
        <v>17</v>
      </c>
      <c r="F471">
        <v>6</v>
      </c>
      <c r="G471">
        <v>370.3</v>
      </c>
      <c r="H471">
        <v>0.18</v>
      </c>
      <c r="I471" t="s">
        <v>16</v>
      </c>
      <c r="J471">
        <v>2</v>
      </c>
      <c r="K471">
        <v>4.5999999999999996</v>
      </c>
      <c r="L471">
        <v>1821.88</v>
      </c>
    </row>
    <row r="472" spans="1:12" x14ac:dyDescent="0.35">
      <c r="A472">
        <v>10471</v>
      </c>
      <c r="B472" t="s">
        <v>301</v>
      </c>
      <c r="C472">
        <v>1372</v>
      </c>
      <c r="D472" t="s">
        <v>15</v>
      </c>
      <c r="E472" t="s">
        <v>20</v>
      </c>
      <c r="F472">
        <v>6</v>
      </c>
      <c r="G472">
        <v>123.32</v>
      </c>
      <c r="H472">
        <v>0</v>
      </c>
      <c r="I472" t="s">
        <v>14</v>
      </c>
      <c r="J472">
        <v>10</v>
      </c>
      <c r="K472">
        <v>1.4</v>
      </c>
      <c r="L472">
        <v>739.92</v>
      </c>
    </row>
    <row r="473" spans="1:12" x14ac:dyDescent="0.35">
      <c r="A473">
        <v>10472</v>
      </c>
      <c r="B473" t="s">
        <v>302</v>
      </c>
      <c r="C473">
        <v>1517</v>
      </c>
      <c r="D473" t="s">
        <v>19</v>
      </c>
      <c r="E473" t="s">
        <v>21</v>
      </c>
      <c r="F473">
        <v>4</v>
      </c>
      <c r="G473">
        <v>381.75</v>
      </c>
      <c r="H473">
        <v>0.26</v>
      </c>
      <c r="I473" t="s">
        <v>18</v>
      </c>
      <c r="J473">
        <v>6</v>
      </c>
      <c r="K473">
        <v>2.2999999999999998</v>
      </c>
      <c r="L473">
        <v>1129.98</v>
      </c>
    </row>
    <row r="474" spans="1:12" x14ac:dyDescent="0.35">
      <c r="A474">
        <v>10473</v>
      </c>
      <c r="B474" t="s">
        <v>303</v>
      </c>
      <c r="C474">
        <v>1098</v>
      </c>
      <c r="D474" t="s">
        <v>12</v>
      </c>
      <c r="E474" t="s">
        <v>21</v>
      </c>
      <c r="F474">
        <v>4</v>
      </c>
      <c r="G474">
        <v>116.67</v>
      </c>
      <c r="H474">
        <v>0.26</v>
      </c>
      <c r="I474" t="s">
        <v>16</v>
      </c>
      <c r="J474">
        <v>6</v>
      </c>
      <c r="K474">
        <v>2.4</v>
      </c>
      <c r="L474">
        <v>345.34</v>
      </c>
    </row>
    <row r="475" spans="1:12" x14ac:dyDescent="0.35">
      <c r="A475">
        <v>10474</v>
      </c>
      <c r="B475" t="s">
        <v>304</v>
      </c>
      <c r="C475">
        <v>1891</v>
      </c>
      <c r="D475" t="s">
        <v>19</v>
      </c>
      <c r="E475" t="s">
        <v>17</v>
      </c>
      <c r="F475">
        <v>7</v>
      </c>
      <c r="G475">
        <v>52.34</v>
      </c>
      <c r="H475">
        <v>0.06</v>
      </c>
      <c r="I475" t="s">
        <v>18</v>
      </c>
      <c r="J475">
        <v>1</v>
      </c>
      <c r="K475">
        <v>2.7</v>
      </c>
      <c r="L475">
        <v>344.4</v>
      </c>
    </row>
    <row r="476" spans="1:12" x14ac:dyDescent="0.35">
      <c r="A476">
        <v>10475</v>
      </c>
      <c r="B476" t="s">
        <v>305</v>
      </c>
      <c r="C476">
        <v>1744</v>
      </c>
      <c r="D476" t="s">
        <v>15</v>
      </c>
      <c r="E476" t="s">
        <v>20</v>
      </c>
      <c r="F476">
        <v>6</v>
      </c>
      <c r="G476">
        <v>208.26</v>
      </c>
      <c r="H476">
        <v>0.33</v>
      </c>
      <c r="I476" t="s">
        <v>16</v>
      </c>
      <c r="J476">
        <v>6</v>
      </c>
      <c r="K476">
        <v>4.9000000000000004</v>
      </c>
      <c r="L476">
        <v>837.21</v>
      </c>
    </row>
    <row r="477" spans="1:12" x14ac:dyDescent="0.35">
      <c r="A477">
        <v>10476</v>
      </c>
      <c r="B477" t="s">
        <v>306</v>
      </c>
      <c r="C477">
        <v>1036</v>
      </c>
      <c r="D477" t="s">
        <v>29</v>
      </c>
      <c r="E477" t="s">
        <v>20</v>
      </c>
      <c r="F477">
        <v>6</v>
      </c>
      <c r="G477">
        <v>150.22</v>
      </c>
      <c r="H477">
        <v>0.08</v>
      </c>
      <c r="I477" t="s">
        <v>18</v>
      </c>
      <c r="J477">
        <v>11</v>
      </c>
      <c r="K477">
        <v>2.2000000000000002</v>
      </c>
      <c r="L477">
        <v>829.21</v>
      </c>
    </row>
    <row r="478" spans="1:12" x14ac:dyDescent="0.35">
      <c r="A478">
        <v>10477</v>
      </c>
      <c r="B478" t="s">
        <v>307</v>
      </c>
      <c r="C478">
        <v>1279</v>
      </c>
      <c r="D478" t="s">
        <v>29</v>
      </c>
      <c r="E478" t="s">
        <v>13</v>
      </c>
      <c r="F478">
        <v>6</v>
      </c>
      <c r="G478">
        <v>535.05999999999995</v>
      </c>
      <c r="H478">
        <v>0.16</v>
      </c>
      <c r="I478" t="s">
        <v>14</v>
      </c>
      <c r="J478">
        <v>9</v>
      </c>
      <c r="K478">
        <v>3.1</v>
      </c>
      <c r="L478">
        <v>2696.7</v>
      </c>
    </row>
    <row r="479" spans="1:12" x14ac:dyDescent="0.35">
      <c r="A479">
        <v>10478</v>
      </c>
      <c r="B479" t="s">
        <v>308</v>
      </c>
      <c r="C479">
        <v>1348</v>
      </c>
      <c r="D479" t="s">
        <v>15</v>
      </c>
      <c r="E479" t="s">
        <v>13</v>
      </c>
      <c r="F479">
        <v>2</v>
      </c>
      <c r="G479">
        <v>47.15</v>
      </c>
      <c r="H479">
        <v>0.04</v>
      </c>
      <c r="I479" t="s">
        <v>18</v>
      </c>
      <c r="J479">
        <v>8</v>
      </c>
      <c r="K479">
        <v>3.1</v>
      </c>
      <c r="L479">
        <v>90.53</v>
      </c>
    </row>
    <row r="480" spans="1:12" x14ac:dyDescent="0.35">
      <c r="A480">
        <v>10479</v>
      </c>
      <c r="B480" t="s">
        <v>309</v>
      </c>
      <c r="C480">
        <v>1496</v>
      </c>
      <c r="D480" t="s">
        <v>19</v>
      </c>
      <c r="E480" t="s">
        <v>20</v>
      </c>
      <c r="F480">
        <v>6</v>
      </c>
      <c r="G480">
        <v>118.32</v>
      </c>
      <c r="H480">
        <v>0.21</v>
      </c>
      <c r="I480" t="s">
        <v>16</v>
      </c>
      <c r="J480">
        <v>10</v>
      </c>
      <c r="K480">
        <v>4.0999999999999996</v>
      </c>
      <c r="L480">
        <v>560.84</v>
      </c>
    </row>
    <row r="481" spans="1:12" x14ac:dyDescent="0.35">
      <c r="A481">
        <v>10480</v>
      </c>
      <c r="B481" t="s">
        <v>310</v>
      </c>
      <c r="C481">
        <v>1301</v>
      </c>
      <c r="D481" t="s">
        <v>15</v>
      </c>
      <c r="E481" t="s">
        <v>17</v>
      </c>
      <c r="F481">
        <v>1</v>
      </c>
      <c r="G481">
        <v>336</v>
      </c>
      <c r="H481">
        <v>0.13</v>
      </c>
      <c r="I481" t="s">
        <v>16</v>
      </c>
      <c r="J481">
        <v>5</v>
      </c>
      <c r="K481">
        <v>3.1</v>
      </c>
      <c r="L481">
        <v>292.32</v>
      </c>
    </row>
    <row r="482" spans="1:12" x14ac:dyDescent="0.35">
      <c r="A482">
        <v>10481</v>
      </c>
      <c r="B482" t="s">
        <v>311</v>
      </c>
      <c r="C482">
        <v>1180</v>
      </c>
      <c r="D482" t="s">
        <v>19</v>
      </c>
      <c r="E482" t="s">
        <v>17</v>
      </c>
      <c r="F482">
        <v>6</v>
      </c>
      <c r="G482">
        <v>296.42</v>
      </c>
      <c r="H482">
        <v>0.12</v>
      </c>
      <c r="I482" t="s">
        <v>16</v>
      </c>
      <c r="J482">
        <v>4</v>
      </c>
      <c r="K482">
        <v>3.4</v>
      </c>
      <c r="L482">
        <v>1565.1</v>
      </c>
    </row>
    <row r="483" spans="1:12" x14ac:dyDescent="0.35">
      <c r="A483">
        <v>10482</v>
      </c>
      <c r="B483" t="s">
        <v>312</v>
      </c>
      <c r="C483">
        <v>1606</v>
      </c>
      <c r="D483" t="s">
        <v>19</v>
      </c>
      <c r="E483" t="s">
        <v>13</v>
      </c>
      <c r="F483">
        <v>1</v>
      </c>
      <c r="G483">
        <v>41.82</v>
      </c>
      <c r="H483">
        <v>0.28999999999999998</v>
      </c>
      <c r="I483" t="s">
        <v>18</v>
      </c>
      <c r="J483">
        <v>6</v>
      </c>
      <c r="K483">
        <v>4</v>
      </c>
      <c r="L483">
        <v>29.69</v>
      </c>
    </row>
    <row r="484" spans="1:12" x14ac:dyDescent="0.35">
      <c r="A484">
        <v>10483</v>
      </c>
      <c r="B484" t="s">
        <v>313</v>
      </c>
      <c r="C484">
        <v>1098</v>
      </c>
      <c r="D484" t="s">
        <v>15</v>
      </c>
      <c r="E484" t="s">
        <v>21</v>
      </c>
      <c r="F484">
        <v>2</v>
      </c>
      <c r="G484">
        <v>19.239999999999998</v>
      </c>
      <c r="H484">
        <v>0</v>
      </c>
      <c r="I484" t="s">
        <v>16</v>
      </c>
      <c r="J484">
        <v>11</v>
      </c>
      <c r="K484">
        <v>1.4</v>
      </c>
      <c r="L484">
        <v>38.479999999999997</v>
      </c>
    </row>
    <row r="485" spans="1:12" x14ac:dyDescent="0.35">
      <c r="A485">
        <v>10484</v>
      </c>
      <c r="B485" t="s">
        <v>314</v>
      </c>
      <c r="C485">
        <v>1699</v>
      </c>
      <c r="D485" t="s">
        <v>19</v>
      </c>
      <c r="E485" t="s">
        <v>17</v>
      </c>
      <c r="F485">
        <v>4</v>
      </c>
      <c r="G485">
        <v>593.02</v>
      </c>
      <c r="H485">
        <v>0.28000000000000003</v>
      </c>
      <c r="I485" t="s">
        <v>18</v>
      </c>
      <c r="J485">
        <v>5</v>
      </c>
      <c r="K485">
        <v>4.9000000000000004</v>
      </c>
      <c r="L485">
        <v>1707.9</v>
      </c>
    </row>
    <row r="486" spans="1:12" x14ac:dyDescent="0.35">
      <c r="A486">
        <v>10485</v>
      </c>
      <c r="B486" t="s">
        <v>315</v>
      </c>
      <c r="C486">
        <v>1992</v>
      </c>
      <c r="D486" t="s">
        <v>19</v>
      </c>
      <c r="E486" t="s">
        <v>21</v>
      </c>
      <c r="F486">
        <v>1</v>
      </c>
      <c r="G486">
        <v>400.42</v>
      </c>
      <c r="H486">
        <v>0.2</v>
      </c>
      <c r="I486" t="s">
        <v>18</v>
      </c>
      <c r="J486">
        <v>6</v>
      </c>
      <c r="K486">
        <v>4.4000000000000004</v>
      </c>
      <c r="L486">
        <v>320.33999999999997</v>
      </c>
    </row>
    <row r="487" spans="1:12" x14ac:dyDescent="0.35">
      <c r="A487">
        <v>10486</v>
      </c>
      <c r="B487" s="1">
        <v>44931</v>
      </c>
      <c r="C487">
        <v>1115</v>
      </c>
      <c r="D487" t="s">
        <v>29</v>
      </c>
      <c r="E487" t="s">
        <v>17</v>
      </c>
      <c r="F487">
        <v>2</v>
      </c>
      <c r="G487">
        <v>228.76</v>
      </c>
      <c r="H487">
        <v>0.35</v>
      </c>
      <c r="I487" t="s">
        <v>18</v>
      </c>
      <c r="J487">
        <v>10</v>
      </c>
      <c r="K487">
        <v>2.6</v>
      </c>
      <c r="L487">
        <v>297.39</v>
      </c>
    </row>
    <row r="488" spans="1:12" x14ac:dyDescent="0.35">
      <c r="A488">
        <v>10487</v>
      </c>
      <c r="B488" s="1">
        <v>44962</v>
      </c>
      <c r="C488">
        <v>1190</v>
      </c>
      <c r="D488" t="s">
        <v>12</v>
      </c>
      <c r="E488" t="s">
        <v>20</v>
      </c>
      <c r="F488">
        <v>6</v>
      </c>
      <c r="G488">
        <v>290.2</v>
      </c>
      <c r="H488">
        <v>0.21</v>
      </c>
      <c r="I488" t="s">
        <v>14</v>
      </c>
      <c r="J488">
        <v>11</v>
      </c>
      <c r="K488">
        <v>3.9</v>
      </c>
      <c r="L488">
        <v>1375.55</v>
      </c>
    </row>
    <row r="489" spans="1:12" x14ac:dyDescent="0.35">
      <c r="A489">
        <v>10488</v>
      </c>
      <c r="B489" s="1">
        <v>44990</v>
      </c>
      <c r="C489">
        <v>1252</v>
      </c>
      <c r="D489" t="s">
        <v>15</v>
      </c>
      <c r="E489" t="s">
        <v>13</v>
      </c>
      <c r="F489">
        <v>2</v>
      </c>
      <c r="G489">
        <v>170.93</v>
      </c>
      <c r="H489">
        <v>0.02</v>
      </c>
      <c r="I489" t="s">
        <v>18</v>
      </c>
      <c r="J489">
        <v>3</v>
      </c>
      <c r="K489">
        <v>4</v>
      </c>
      <c r="L489">
        <v>335.02</v>
      </c>
    </row>
    <row r="490" spans="1:12" x14ac:dyDescent="0.35">
      <c r="A490">
        <v>10489</v>
      </c>
      <c r="B490" s="1">
        <v>45021</v>
      </c>
      <c r="C490">
        <v>1980</v>
      </c>
      <c r="D490" t="s">
        <v>19</v>
      </c>
      <c r="E490" t="s">
        <v>21</v>
      </c>
      <c r="F490">
        <v>6</v>
      </c>
      <c r="G490">
        <v>216.75</v>
      </c>
      <c r="H490">
        <v>0.02</v>
      </c>
      <c r="I490" t="s">
        <v>16</v>
      </c>
      <c r="J490">
        <v>7</v>
      </c>
      <c r="K490">
        <v>4.4000000000000004</v>
      </c>
      <c r="L490">
        <v>1274.49</v>
      </c>
    </row>
    <row r="491" spans="1:12" x14ac:dyDescent="0.35">
      <c r="A491">
        <v>10490</v>
      </c>
      <c r="B491" s="1">
        <v>45051</v>
      </c>
      <c r="C491">
        <v>1927</v>
      </c>
      <c r="D491" t="s">
        <v>19</v>
      </c>
      <c r="E491" t="s">
        <v>21</v>
      </c>
      <c r="F491">
        <v>7</v>
      </c>
      <c r="G491">
        <v>394.69</v>
      </c>
      <c r="H491">
        <v>0.31</v>
      </c>
      <c r="I491" t="s">
        <v>18</v>
      </c>
      <c r="J491">
        <v>8</v>
      </c>
      <c r="K491">
        <v>1.8</v>
      </c>
      <c r="L491">
        <v>1906.35</v>
      </c>
    </row>
    <row r="492" spans="1:12" x14ac:dyDescent="0.35">
      <c r="A492">
        <v>10491</v>
      </c>
      <c r="B492" s="1">
        <v>45082</v>
      </c>
      <c r="C492">
        <v>1982</v>
      </c>
      <c r="D492" t="s">
        <v>12</v>
      </c>
      <c r="E492" t="s">
        <v>20</v>
      </c>
      <c r="F492">
        <v>2</v>
      </c>
      <c r="G492">
        <v>531.44000000000005</v>
      </c>
      <c r="H492">
        <v>0.28999999999999998</v>
      </c>
      <c r="I492" t="s">
        <v>18</v>
      </c>
      <c r="J492">
        <v>5</v>
      </c>
      <c r="K492">
        <v>3.8</v>
      </c>
      <c r="L492">
        <v>754.64</v>
      </c>
    </row>
    <row r="493" spans="1:12" x14ac:dyDescent="0.35">
      <c r="A493">
        <v>10492</v>
      </c>
      <c r="B493" s="1">
        <v>45112</v>
      </c>
      <c r="C493">
        <v>1160</v>
      </c>
      <c r="D493" t="s">
        <v>19</v>
      </c>
      <c r="E493" t="s">
        <v>17</v>
      </c>
      <c r="F493">
        <v>4</v>
      </c>
      <c r="G493">
        <v>122.72</v>
      </c>
      <c r="H493">
        <v>0.12</v>
      </c>
      <c r="I493" t="s">
        <v>16</v>
      </c>
      <c r="J493">
        <v>5</v>
      </c>
      <c r="K493">
        <v>1.1000000000000001</v>
      </c>
      <c r="L493">
        <v>431.97</v>
      </c>
    </row>
    <row r="494" spans="1:12" x14ac:dyDescent="0.35">
      <c r="A494">
        <v>10493</v>
      </c>
      <c r="B494" s="1">
        <v>45143</v>
      </c>
      <c r="C494">
        <v>1255</v>
      </c>
      <c r="D494" t="s">
        <v>19</v>
      </c>
      <c r="E494" t="s">
        <v>21</v>
      </c>
      <c r="F494">
        <v>1</v>
      </c>
      <c r="G494">
        <v>506.61</v>
      </c>
      <c r="H494">
        <v>0.22</v>
      </c>
      <c r="I494" t="s">
        <v>18</v>
      </c>
      <c r="J494">
        <v>4</v>
      </c>
      <c r="K494">
        <v>1.5</v>
      </c>
      <c r="L494">
        <v>395.16</v>
      </c>
    </row>
    <row r="495" spans="1:12" x14ac:dyDescent="0.35">
      <c r="A495">
        <v>10494</v>
      </c>
      <c r="B495" s="1">
        <v>45174</v>
      </c>
      <c r="C495">
        <v>1322</v>
      </c>
      <c r="D495" t="s">
        <v>15</v>
      </c>
      <c r="E495" t="s">
        <v>17</v>
      </c>
      <c r="F495">
        <v>7</v>
      </c>
      <c r="G495">
        <v>86.11</v>
      </c>
      <c r="H495">
        <v>0.17</v>
      </c>
      <c r="I495" t="s">
        <v>16</v>
      </c>
      <c r="J495">
        <v>10</v>
      </c>
      <c r="K495">
        <v>4.0999999999999996</v>
      </c>
      <c r="L495">
        <v>500.3</v>
      </c>
    </row>
    <row r="496" spans="1:12" x14ac:dyDescent="0.35">
      <c r="A496">
        <v>10495</v>
      </c>
      <c r="B496" s="1">
        <v>45204</v>
      </c>
      <c r="C496">
        <v>1127</v>
      </c>
      <c r="D496" t="s">
        <v>15</v>
      </c>
      <c r="E496" t="s">
        <v>20</v>
      </c>
      <c r="F496">
        <v>4</v>
      </c>
      <c r="G496">
        <v>140.77000000000001</v>
      </c>
      <c r="H496">
        <v>0.34</v>
      </c>
      <c r="I496" t="s">
        <v>16</v>
      </c>
      <c r="J496">
        <v>5</v>
      </c>
      <c r="K496">
        <v>4.3</v>
      </c>
      <c r="L496">
        <v>371.63</v>
      </c>
    </row>
    <row r="497" spans="1:12" x14ac:dyDescent="0.35">
      <c r="A497">
        <v>10496</v>
      </c>
      <c r="B497" s="1">
        <v>45235</v>
      </c>
      <c r="C497">
        <v>1017</v>
      </c>
      <c r="D497" t="s">
        <v>15</v>
      </c>
      <c r="E497" t="s">
        <v>13</v>
      </c>
      <c r="F497">
        <v>3</v>
      </c>
      <c r="G497">
        <v>36.75</v>
      </c>
      <c r="H497">
        <v>0.33</v>
      </c>
      <c r="I497" t="s">
        <v>14</v>
      </c>
      <c r="J497">
        <v>10</v>
      </c>
      <c r="K497">
        <v>3.4</v>
      </c>
      <c r="L497">
        <v>73.87</v>
      </c>
    </row>
    <row r="498" spans="1:12" x14ac:dyDescent="0.35">
      <c r="A498">
        <v>10497</v>
      </c>
      <c r="B498" s="1">
        <v>45265</v>
      </c>
      <c r="C498">
        <v>1792</v>
      </c>
      <c r="D498" t="s">
        <v>19</v>
      </c>
      <c r="E498" t="s">
        <v>21</v>
      </c>
      <c r="F498">
        <v>6</v>
      </c>
      <c r="G498">
        <v>97.37</v>
      </c>
      <c r="H498">
        <v>0.34</v>
      </c>
      <c r="I498" t="s">
        <v>14</v>
      </c>
      <c r="J498">
        <v>11</v>
      </c>
      <c r="K498">
        <v>3.3</v>
      </c>
      <c r="L498">
        <v>385.59</v>
      </c>
    </row>
    <row r="499" spans="1:12" x14ac:dyDescent="0.35">
      <c r="A499">
        <v>10498</v>
      </c>
      <c r="B499" t="s">
        <v>316</v>
      </c>
      <c r="C499">
        <v>1734</v>
      </c>
      <c r="D499" t="s">
        <v>19</v>
      </c>
      <c r="E499" t="s">
        <v>17</v>
      </c>
      <c r="F499">
        <v>1</v>
      </c>
      <c r="G499">
        <v>551.62</v>
      </c>
      <c r="H499">
        <v>0.3</v>
      </c>
      <c r="I499" t="s">
        <v>18</v>
      </c>
      <c r="J499">
        <v>8</v>
      </c>
      <c r="K499">
        <v>4</v>
      </c>
      <c r="L499">
        <v>386.13</v>
      </c>
    </row>
    <row r="500" spans="1:12" x14ac:dyDescent="0.35">
      <c r="A500">
        <v>10499</v>
      </c>
      <c r="B500" t="s">
        <v>317</v>
      </c>
      <c r="C500">
        <v>1565</v>
      </c>
      <c r="D500" t="s">
        <v>12</v>
      </c>
      <c r="E500" t="s">
        <v>21</v>
      </c>
      <c r="F500">
        <v>4</v>
      </c>
      <c r="G500">
        <v>283.77</v>
      </c>
      <c r="H500">
        <v>0.32</v>
      </c>
      <c r="I500" t="s">
        <v>18</v>
      </c>
      <c r="J500">
        <v>5</v>
      </c>
      <c r="K500">
        <v>4.5999999999999996</v>
      </c>
      <c r="L500">
        <v>771.85</v>
      </c>
    </row>
    <row r="501" spans="1:12" x14ac:dyDescent="0.35">
      <c r="A501">
        <v>10500</v>
      </c>
      <c r="B501" t="s">
        <v>318</v>
      </c>
      <c r="C501">
        <v>1569</v>
      </c>
      <c r="D501" t="s">
        <v>19</v>
      </c>
      <c r="E501" t="s">
        <v>17</v>
      </c>
      <c r="F501">
        <v>1</v>
      </c>
      <c r="G501">
        <v>60.43</v>
      </c>
      <c r="H501">
        <v>0.08</v>
      </c>
      <c r="I501" t="s">
        <v>14</v>
      </c>
      <c r="J501">
        <v>9</v>
      </c>
      <c r="K501">
        <v>2.7</v>
      </c>
      <c r="L501">
        <v>55.6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372A0-CE1F-4791-BA0E-6FC8872470EB}">
  <dimension ref="A1:L22"/>
  <sheetViews>
    <sheetView workbookViewId="0">
      <selection activeCell="J3" sqref="J3"/>
    </sheetView>
  </sheetViews>
  <sheetFormatPr defaultRowHeight="14.5" x14ac:dyDescent="0.35"/>
  <cols>
    <col min="1" max="1" width="12.453125" bestFit="1" customWidth="1"/>
    <col min="2" max="2" width="19.36328125" bestFit="1" customWidth="1"/>
    <col min="7" max="7" width="12.453125" bestFit="1" customWidth="1"/>
    <col min="8" max="8" width="21.36328125" bestFit="1" customWidth="1"/>
    <col min="9" max="9" width="23.54296875" bestFit="1" customWidth="1"/>
    <col min="10" max="10" width="20.7265625" bestFit="1" customWidth="1"/>
    <col min="11" max="11" width="8.81640625" bestFit="1" customWidth="1"/>
    <col min="12" max="12" width="10.36328125" bestFit="1" customWidth="1"/>
  </cols>
  <sheetData>
    <row r="1" spans="1:12" ht="15" thickBot="1" x14ac:dyDescent="0.4"/>
    <row r="2" spans="1:12" ht="16.5" thickBot="1" x14ac:dyDescent="0.45">
      <c r="A2" s="32" t="s">
        <v>332</v>
      </c>
      <c r="B2" s="31"/>
      <c r="G2" s="39" t="s">
        <v>343</v>
      </c>
      <c r="H2" s="39"/>
      <c r="I2" s="31"/>
    </row>
    <row r="3" spans="1:12" ht="15" thickBot="1" x14ac:dyDescent="0.4">
      <c r="A3" s="25" t="s">
        <v>329</v>
      </c>
      <c r="B3" s="28" t="s">
        <v>331</v>
      </c>
      <c r="G3" s="14" t="s">
        <v>329</v>
      </c>
      <c r="H3" t="s">
        <v>339</v>
      </c>
      <c r="I3" s="9" t="s">
        <v>333</v>
      </c>
    </row>
    <row r="4" spans="1:12" x14ac:dyDescent="0.35">
      <c r="A4" s="19" t="s">
        <v>12</v>
      </c>
      <c r="B4" s="10">
        <v>74459.070000000022</v>
      </c>
      <c r="G4" s="15" t="s">
        <v>16</v>
      </c>
      <c r="H4">
        <v>2325673</v>
      </c>
      <c r="I4" s="9">
        <v>225444.42999999988</v>
      </c>
    </row>
    <row r="5" spans="1:12" x14ac:dyDescent="0.35">
      <c r="A5" s="20" t="s">
        <v>15</v>
      </c>
      <c r="B5" s="17">
        <v>136717.49999999997</v>
      </c>
      <c r="G5" s="15" t="s">
        <v>338</v>
      </c>
      <c r="H5">
        <v>1866043</v>
      </c>
      <c r="I5" s="9">
        <v>192161.20999999996</v>
      </c>
    </row>
    <row r="6" spans="1:12" x14ac:dyDescent="0.35">
      <c r="A6" s="20" t="s">
        <v>19</v>
      </c>
      <c r="B6" s="17">
        <v>175245.80999999994</v>
      </c>
      <c r="G6" s="15" t="s">
        <v>14</v>
      </c>
      <c r="H6">
        <v>933534</v>
      </c>
      <c r="I6" s="9">
        <v>84755.23000000001</v>
      </c>
    </row>
    <row r="7" spans="1:12" ht="15" thickBot="1" x14ac:dyDescent="0.4">
      <c r="A7" s="26" t="s">
        <v>29</v>
      </c>
      <c r="B7" s="17">
        <v>115938.58999999998</v>
      </c>
      <c r="G7" s="15" t="s">
        <v>330</v>
      </c>
      <c r="H7">
        <v>5125250</v>
      </c>
      <c r="I7" s="9">
        <v>502360.86999999988</v>
      </c>
    </row>
    <row r="8" spans="1:12" ht="16.5" thickBot="1" x14ac:dyDescent="0.45">
      <c r="A8" s="27" t="s">
        <v>330</v>
      </c>
      <c r="B8" s="24">
        <v>502360.96999999991</v>
      </c>
      <c r="G8" s="38" t="s">
        <v>344</v>
      </c>
      <c r="H8" s="39"/>
      <c r="I8" s="39"/>
      <c r="J8" s="31"/>
      <c r="K8" s="31"/>
      <c r="L8" s="31"/>
    </row>
    <row r="9" spans="1:12" ht="16.5" thickBot="1" x14ac:dyDescent="0.45">
      <c r="A9" s="30" t="s">
        <v>334</v>
      </c>
      <c r="B9" s="29"/>
      <c r="G9" s="18" t="s">
        <v>333</v>
      </c>
      <c r="H9" s="18" t="s">
        <v>340</v>
      </c>
      <c r="I9" s="35"/>
      <c r="J9" s="37"/>
      <c r="K9" s="37"/>
      <c r="L9" s="36"/>
    </row>
    <row r="10" spans="1:12" ht="15" thickBot="1" x14ac:dyDescent="0.4">
      <c r="A10" s="18" t="s">
        <v>329</v>
      </c>
      <c r="B10" s="23" t="s">
        <v>333</v>
      </c>
      <c r="G10" s="18" t="s">
        <v>329</v>
      </c>
      <c r="H10" s="35" t="s">
        <v>17</v>
      </c>
      <c r="I10" s="37" t="s">
        <v>21</v>
      </c>
      <c r="J10" s="37" t="s">
        <v>13</v>
      </c>
      <c r="K10" s="36" t="s">
        <v>20</v>
      </c>
      <c r="L10" s="23" t="s">
        <v>330</v>
      </c>
    </row>
    <row r="11" spans="1:12" x14ac:dyDescent="0.35">
      <c r="A11" s="19" t="s">
        <v>17</v>
      </c>
      <c r="B11" s="10">
        <v>116425.88000000003</v>
      </c>
      <c r="G11" s="19" t="s">
        <v>12</v>
      </c>
      <c r="H11" s="4">
        <v>19583.16</v>
      </c>
      <c r="I11" s="34">
        <v>18999.920000000002</v>
      </c>
      <c r="J11" s="34">
        <v>16216.24</v>
      </c>
      <c r="K11" s="34">
        <v>19659.73</v>
      </c>
      <c r="L11" s="5">
        <v>74459.05</v>
      </c>
    </row>
    <row r="12" spans="1:12" x14ac:dyDescent="0.35">
      <c r="A12" s="20" t="s">
        <v>21</v>
      </c>
      <c r="B12" s="17">
        <v>158093.82999999999</v>
      </c>
      <c r="G12" s="20" t="s">
        <v>15</v>
      </c>
      <c r="H12" s="8">
        <v>38914.049999999996</v>
      </c>
      <c r="I12">
        <v>25817.650000000005</v>
      </c>
      <c r="J12">
        <v>34186.169999999991</v>
      </c>
      <c r="K12">
        <v>37799.589999999997</v>
      </c>
      <c r="L12" s="9">
        <v>136717.46</v>
      </c>
    </row>
    <row r="13" spans="1:12" x14ac:dyDescent="0.35">
      <c r="A13" s="20" t="s">
        <v>13</v>
      </c>
      <c r="B13" s="17">
        <v>110675.96</v>
      </c>
      <c r="G13" s="20" t="s">
        <v>19</v>
      </c>
      <c r="H13" s="8">
        <v>38383.31</v>
      </c>
      <c r="I13">
        <v>74186.840000000011</v>
      </c>
      <c r="J13">
        <v>32215.379999999997</v>
      </c>
      <c r="K13">
        <v>30460.259999999995</v>
      </c>
      <c r="L13" s="9">
        <v>175245.78999999998</v>
      </c>
    </row>
    <row r="14" spans="1:12" ht="15" thickBot="1" x14ac:dyDescent="0.4">
      <c r="A14" s="21" t="s">
        <v>20</v>
      </c>
      <c r="B14" s="17">
        <v>117165.19999999992</v>
      </c>
      <c r="G14" s="21" t="s">
        <v>29</v>
      </c>
      <c r="H14" s="8">
        <v>19545.360000000004</v>
      </c>
      <c r="I14">
        <v>39089.42</v>
      </c>
      <c r="J14">
        <v>28058.170000000006</v>
      </c>
      <c r="K14">
        <v>29245.620000000003</v>
      </c>
      <c r="L14" s="9">
        <v>115938.57</v>
      </c>
    </row>
    <row r="15" spans="1:12" ht="15" thickBot="1" x14ac:dyDescent="0.4">
      <c r="A15" s="22" t="s">
        <v>330</v>
      </c>
      <c r="B15" s="11">
        <v>502360.87</v>
      </c>
      <c r="G15" s="22" t="s">
        <v>330</v>
      </c>
      <c r="H15" s="6">
        <v>116425.87999999999</v>
      </c>
      <c r="I15" s="33">
        <v>158093.83000000002</v>
      </c>
      <c r="J15" s="33">
        <v>110675.95999999999</v>
      </c>
      <c r="K15" s="33">
        <v>117165.19999999998</v>
      </c>
      <c r="L15" s="7">
        <v>502360.87</v>
      </c>
    </row>
    <row r="16" spans="1:12" ht="16" x14ac:dyDescent="0.4">
      <c r="A16" s="30" t="s">
        <v>337</v>
      </c>
      <c r="B16" s="31"/>
      <c r="G16" s="39" t="s">
        <v>345</v>
      </c>
      <c r="H16" s="39"/>
      <c r="I16" s="31"/>
    </row>
    <row r="17" spans="1:9" x14ac:dyDescent="0.35">
      <c r="A17" s="12" t="s">
        <v>329</v>
      </c>
      <c r="B17" t="s">
        <v>331</v>
      </c>
      <c r="G17" s="14" t="s">
        <v>329</v>
      </c>
      <c r="H17" t="s">
        <v>341</v>
      </c>
      <c r="I17" s="9" t="s">
        <v>342</v>
      </c>
    </row>
    <row r="18" spans="1:9" x14ac:dyDescent="0.35">
      <c r="A18" s="13" t="s">
        <v>335</v>
      </c>
      <c r="B18">
        <v>371824.39000000025</v>
      </c>
      <c r="G18" s="15" t="s">
        <v>17</v>
      </c>
      <c r="H18" s="40">
        <v>6.1269841269841274</v>
      </c>
      <c r="I18" s="41">
        <v>3.0325396825396838</v>
      </c>
    </row>
    <row r="19" spans="1:9" x14ac:dyDescent="0.35">
      <c r="A19" s="13" t="s">
        <v>336</v>
      </c>
      <c r="B19">
        <v>130536.57999999999</v>
      </c>
      <c r="G19" s="15" t="s">
        <v>21</v>
      </c>
      <c r="H19" s="40">
        <v>6.0472972972972974</v>
      </c>
      <c r="I19" s="41">
        <v>3.0175675675675668</v>
      </c>
    </row>
    <row r="20" spans="1:9" x14ac:dyDescent="0.35">
      <c r="A20" s="13" t="s">
        <v>330</v>
      </c>
      <c r="B20">
        <v>502360.9700000002</v>
      </c>
      <c r="G20" s="15" t="s">
        <v>13</v>
      </c>
      <c r="H20" s="40">
        <v>6.1481481481481479</v>
      </c>
      <c r="I20" s="41">
        <v>2.9629629629629628</v>
      </c>
    </row>
    <row r="21" spans="1:9" x14ac:dyDescent="0.35">
      <c r="G21" s="15" t="s">
        <v>20</v>
      </c>
      <c r="H21" s="40">
        <v>6.3559322033898304</v>
      </c>
      <c r="I21" s="41">
        <v>2.8923728813559322</v>
      </c>
    </row>
    <row r="22" spans="1:9" ht="15" thickBot="1" x14ac:dyDescent="0.4">
      <c r="G22" s="16" t="s">
        <v>330</v>
      </c>
      <c r="H22" s="42">
        <v>6.1619999999999999</v>
      </c>
      <c r="I22" s="43">
        <v>2.9799999999999986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F8749-7F7F-471E-98C9-2294B068D306}">
  <dimension ref="A1:U501"/>
  <sheetViews>
    <sheetView tabSelected="1" topLeftCell="G1" zoomScale="83" zoomScaleNormal="83" workbookViewId="0">
      <selection activeCell="R47" sqref="R47"/>
    </sheetView>
  </sheetViews>
  <sheetFormatPr defaultRowHeight="14.5" x14ac:dyDescent="0.35"/>
  <cols>
    <col min="1" max="1" width="13.453125" customWidth="1"/>
    <col min="2" max="2" width="11.7265625" customWidth="1"/>
    <col min="3" max="3" width="17.08984375" customWidth="1"/>
    <col min="4" max="4" width="18.26953125" customWidth="1"/>
    <col min="5" max="5" width="23.90625" customWidth="1"/>
    <col min="6" max="6" width="21.90625" customWidth="1"/>
    <col min="7" max="7" width="11.26953125" customWidth="1"/>
    <col min="8" max="8" width="18.26953125" customWidth="1"/>
    <col min="9" max="9" width="17.453125" customWidth="1"/>
    <col min="10" max="10" width="19.7265625" customWidth="1"/>
    <col min="11" max="11" width="16.36328125" customWidth="1"/>
    <col min="12" max="12" width="23.26953125" customWidth="1"/>
    <col min="13" max="13" width="21.26953125" customWidth="1"/>
    <col min="14" max="14" width="17.7265625" customWidth="1"/>
    <col min="15" max="15" width="21.453125" customWidth="1"/>
    <col min="16" max="16" width="13.08984375" customWidth="1"/>
    <col min="17" max="17" width="16.6328125" customWidth="1"/>
    <col min="18" max="18" width="17" customWidth="1"/>
    <col min="20" max="20" width="13.81640625" customWidth="1"/>
  </cols>
  <sheetData>
    <row r="1" spans="1:21" x14ac:dyDescent="0.35">
      <c r="A1" t="s">
        <v>0</v>
      </c>
      <c r="B1" t="s">
        <v>1</v>
      </c>
      <c r="C1" t="s">
        <v>319</v>
      </c>
      <c r="D1" t="s">
        <v>2</v>
      </c>
      <c r="E1" t="s">
        <v>3</v>
      </c>
      <c r="F1" t="s">
        <v>323</v>
      </c>
      <c r="G1" t="s">
        <v>4</v>
      </c>
      <c r="H1" t="s">
        <v>324</v>
      </c>
      <c r="I1" t="s">
        <v>5</v>
      </c>
      <c r="J1" t="s">
        <v>6</v>
      </c>
      <c r="K1" t="s">
        <v>7</v>
      </c>
      <c r="L1" t="s">
        <v>325</v>
      </c>
      <c r="M1" t="s">
        <v>8</v>
      </c>
      <c r="N1" t="s">
        <v>9</v>
      </c>
      <c r="O1" t="s">
        <v>10</v>
      </c>
      <c r="P1" t="s">
        <v>11</v>
      </c>
      <c r="Q1" t="s">
        <v>321</v>
      </c>
      <c r="R1" t="s">
        <v>322</v>
      </c>
      <c r="T1" s="10" t="s">
        <v>326</v>
      </c>
    </row>
    <row r="2" spans="1:21" ht="15" thickBot="1" x14ac:dyDescent="0.4">
      <c r="A2">
        <v>10001</v>
      </c>
      <c r="B2" s="1">
        <v>44562</v>
      </c>
      <c r="C2" s="1">
        <f t="shared" ref="C2:C65" si="0">DATE(2022,1,1)+A2-10001</f>
        <v>44562</v>
      </c>
      <c r="D2">
        <v>1102</v>
      </c>
      <c r="E2" t="s">
        <v>12</v>
      </c>
      <c r="F2" t="str">
        <f>TRIM(PROPER(E2))</f>
        <v>Beauty</v>
      </c>
      <c r="G2" t="s">
        <v>13</v>
      </c>
      <c r="H2" t="str">
        <f>TRIM(PROPER(G2))</f>
        <v>South</v>
      </c>
      <c r="I2">
        <v>7</v>
      </c>
      <c r="J2" s="3">
        <v>373.65</v>
      </c>
      <c r="K2">
        <v>0.28000000000000003</v>
      </c>
      <c r="L2" t="str">
        <f>TRIM(PROPER(M2))</f>
        <v>Wallet</v>
      </c>
      <c r="M2" t="s">
        <v>14</v>
      </c>
      <c r="N2">
        <v>10</v>
      </c>
      <c r="O2">
        <v>4.7</v>
      </c>
      <c r="P2">
        <v>1883.2</v>
      </c>
      <c r="Q2">
        <f t="shared" ref="Q2:Q65" si="1">ROUND(I2*J2*(1-K2),2)</f>
        <v>1883.2</v>
      </c>
      <c r="R2">
        <f t="shared" ref="R2:R65" si="2">ROUND(P2-Q2,2)</f>
        <v>0</v>
      </c>
      <c r="T2" s="11">
        <f>SUM(ecommerce_sales[revenue])</f>
        <v>502360.87000000017</v>
      </c>
    </row>
    <row r="3" spans="1:21" ht="15" thickBot="1" x14ac:dyDescent="0.4">
      <c r="A3">
        <v>10002</v>
      </c>
      <c r="B3" s="1">
        <v>44593</v>
      </c>
      <c r="C3" s="1">
        <f t="shared" si="0"/>
        <v>44563</v>
      </c>
      <c r="D3">
        <v>1435</v>
      </c>
      <c r="E3" t="s">
        <v>15</v>
      </c>
      <c r="F3" t="str">
        <f t="shared" ref="F3:F66" si="3">TRIM(PROPER(E3))</f>
        <v>Clothing</v>
      </c>
      <c r="G3" t="s">
        <v>13</v>
      </c>
      <c r="H3" t="str">
        <f t="shared" ref="H3:H66" si="4">TRIM(PROPER(G3))</f>
        <v>South</v>
      </c>
      <c r="I3">
        <v>7</v>
      </c>
      <c r="J3">
        <v>47.74</v>
      </c>
      <c r="K3">
        <v>0.09</v>
      </c>
      <c r="L3" t="str">
        <f t="shared" ref="L3:L66" si="5">TRIM(PROPER(M3))</f>
        <v>Card</v>
      </c>
      <c r="M3" t="s">
        <v>16</v>
      </c>
      <c r="N3">
        <v>6</v>
      </c>
      <c r="O3">
        <v>3.9</v>
      </c>
      <c r="P3">
        <v>304.10000000000002</v>
      </c>
      <c r="Q3">
        <f t="shared" si="1"/>
        <v>304.10000000000002</v>
      </c>
      <c r="R3">
        <f t="shared" si="2"/>
        <v>0</v>
      </c>
    </row>
    <row r="4" spans="1:21" x14ac:dyDescent="0.35">
      <c r="A4">
        <v>10003</v>
      </c>
      <c r="B4" s="1">
        <v>44621</v>
      </c>
      <c r="C4" s="1">
        <f t="shared" si="0"/>
        <v>44564</v>
      </c>
      <c r="D4">
        <v>1860</v>
      </c>
      <c r="E4" t="s">
        <v>12</v>
      </c>
      <c r="F4" t="str">
        <f t="shared" si="3"/>
        <v>Beauty</v>
      </c>
      <c r="G4" t="s">
        <v>17</v>
      </c>
      <c r="H4" t="str">
        <f t="shared" si="4"/>
        <v>East</v>
      </c>
      <c r="I4">
        <v>3</v>
      </c>
      <c r="J4">
        <v>311.27999999999997</v>
      </c>
      <c r="K4">
        <v>0.31</v>
      </c>
      <c r="L4" t="str">
        <f t="shared" si="5"/>
        <v>Cod</v>
      </c>
      <c r="M4" t="s">
        <v>18</v>
      </c>
      <c r="N4">
        <v>6</v>
      </c>
      <c r="O4">
        <v>2.5</v>
      </c>
      <c r="P4">
        <v>644.35</v>
      </c>
      <c r="Q4">
        <f t="shared" si="1"/>
        <v>644.35</v>
      </c>
      <c r="R4">
        <f t="shared" si="2"/>
        <v>0</v>
      </c>
      <c r="T4" s="4" t="s">
        <v>327</v>
      </c>
      <c r="U4" s="5"/>
    </row>
    <row r="5" spans="1:21" ht="15" thickBot="1" x14ac:dyDescent="0.4">
      <c r="A5">
        <v>10004</v>
      </c>
      <c r="B5" s="1">
        <v>44652</v>
      </c>
      <c r="C5" s="1">
        <f t="shared" si="0"/>
        <v>44565</v>
      </c>
      <c r="D5">
        <v>1270</v>
      </c>
      <c r="E5" t="s">
        <v>19</v>
      </c>
      <c r="F5" t="str">
        <f t="shared" si="3"/>
        <v>Electronics</v>
      </c>
      <c r="G5" t="s">
        <v>20</v>
      </c>
      <c r="H5" t="str">
        <f t="shared" si="4"/>
        <v>West</v>
      </c>
      <c r="I5">
        <v>5</v>
      </c>
      <c r="J5">
        <v>524.47</v>
      </c>
      <c r="K5">
        <v>0.02</v>
      </c>
      <c r="L5" t="str">
        <f t="shared" si="5"/>
        <v>Wallet</v>
      </c>
      <c r="M5" t="s">
        <v>14</v>
      </c>
      <c r="N5">
        <v>6</v>
      </c>
      <c r="O5">
        <v>1.6</v>
      </c>
      <c r="P5">
        <v>2569.9</v>
      </c>
      <c r="Q5">
        <f t="shared" si="1"/>
        <v>2569.9</v>
      </c>
      <c r="R5">
        <f t="shared" si="2"/>
        <v>0</v>
      </c>
      <c r="T5" s="6">
        <f>COUNTIF(A:A,A2)</f>
        <v>1</v>
      </c>
      <c r="U5" s="7"/>
    </row>
    <row r="6" spans="1:21" ht="15" thickBot="1" x14ac:dyDescent="0.4">
      <c r="A6">
        <v>10005</v>
      </c>
      <c r="B6" s="1">
        <v>44682</v>
      </c>
      <c r="C6" s="1">
        <f t="shared" si="0"/>
        <v>44566</v>
      </c>
      <c r="D6">
        <v>1106</v>
      </c>
      <c r="E6" t="s">
        <v>15</v>
      </c>
      <c r="F6" t="str">
        <f t="shared" si="3"/>
        <v>Clothing</v>
      </c>
      <c r="G6" t="s">
        <v>20</v>
      </c>
      <c r="H6" t="str">
        <f t="shared" si="4"/>
        <v>West</v>
      </c>
      <c r="I6">
        <v>5</v>
      </c>
      <c r="J6">
        <v>139.87</v>
      </c>
      <c r="K6">
        <v>0.33</v>
      </c>
      <c r="L6" t="str">
        <f t="shared" si="5"/>
        <v>Wallet</v>
      </c>
      <c r="M6" t="s">
        <v>14</v>
      </c>
      <c r="N6">
        <v>4</v>
      </c>
      <c r="O6">
        <v>4.9000000000000004</v>
      </c>
      <c r="P6">
        <v>468.56</v>
      </c>
      <c r="Q6">
        <f t="shared" si="1"/>
        <v>468.56</v>
      </c>
      <c r="R6">
        <f t="shared" si="2"/>
        <v>0</v>
      </c>
    </row>
    <row r="7" spans="1:21" x14ac:dyDescent="0.35">
      <c r="A7">
        <v>10006</v>
      </c>
      <c r="B7" s="1">
        <v>44713</v>
      </c>
      <c r="C7" s="1">
        <f t="shared" si="0"/>
        <v>44567</v>
      </c>
      <c r="D7">
        <v>1071</v>
      </c>
      <c r="E7" t="s">
        <v>19</v>
      </c>
      <c r="F7" t="str">
        <f t="shared" si="3"/>
        <v>Electronics</v>
      </c>
      <c r="G7" t="s">
        <v>20</v>
      </c>
      <c r="H7" t="str">
        <f t="shared" si="4"/>
        <v>West</v>
      </c>
      <c r="I7">
        <v>2</v>
      </c>
      <c r="J7">
        <v>264.44</v>
      </c>
      <c r="K7">
        <v>0.2</v>
      </c>
      <c r="L7" t="str">
        <f t="shared" si="5"/>
        <v>Card</v>
      </c>
      <c r="M7" t="s">
        <v>16</v>
      </c>
      <c r="N7">
        <v>3</v>
      </c>
      <c r="O7">
        <v>3.3</v>
      </c>
      <c r="P7">
        <v>423.1</v>
      </c>
      <c r="Q7">
        <f t="shared" si="1"/>
        <v>423.1</v>
      </c>
      <c r="R7">
        <f t="shared" si="2"/>
        <v>0</v>
      </c>
      <c r="T7" s="4" t="s">
        <v>328</v>
      </c>
      <c r="U7" s="5"/>
    </row>
    <row r="8" spans="1:21" x14ac:dyDescent="0.35">
      <c r="A8">
        <v>10007</v>
      </c>
      <c r="B8" s="1">
        <v>44743</v>
      </c>
      <c r="C8" s="1">
        <f t="shared" si="0"/>
        <v>44568</v>
      </c>
      <c r="D8">
        <v>1700</v>
      </c>
      <c r="E8" t="s">
        <v>15</v>
      </c>
      <c r="F8" t="str">
        <f t="shared" si="3"/>
        <v>Clothing</v>
      </c>
      <c r="G8" t="s">
        <v>13</v>
      </c>
      <c r="H8" t="str">
        <f t="shared" si="4"/>
        <v>South</v>
      </c>
      <c r="I8">
        <v>6</v>
      </c>
      <c r="J8">
        <v>564.6</v>
      </c>
      <c r="K8">
        <v>0.23</v>
      </c>
      <c r="L8" t="str">
        <f t="shared" si="5"/>
        <v>Card</v>
      </c>
      <c r="M8" t="s">
        <v>16</v>
      </c>
      <c r="N8">
        <v>1</v>
      </c>
      <c r="O8">
        <v>1.8</v>
      </c>
      <c r="P8">
        <v>2608.4499999999998</v>
      </c>
      <c r="Q8">
        <f t="shared" si="1"/>
        <v>2608.4499999999998</v>
      </c>
      <c r="R8">
        <f t="shared" si="2"/>
        <v>0</v>
      </c>
      <c r="T8" s="8">
        <v>0</v>
      </c>
      <c r="U8" s="9"/>
    </row>
    <row r="9" spans="1:21" ht="15" thickBot="1" x14ac:dyDescent="0.4">
      <c r="A9">
        <v>10008</v>
      </c>
      <c r="B9" s="1">
        <v>44774</v>
      </c>
      <c r="C9" s="1">
        <f t="shared" si="0"/>
        <v>44569</v>
      </c>
      <c r="D9">
        <v>1020</v>
      </c>
      <c r="E9" t="s">
        <v>12</v>
      </c>
      <c r="F9" t="str">
        <f t="shared" si="3"/>
        <v>Beauty</v>
      </c>
      <c r="G9" t="s">
        <v>21</v>
      </c>
      <c r="H9" t="str">
        <f t="shared" si="4"/>
        <v>North</v>
      </c>
      <c r="I9">
        <v>6</v>
      </c>
      <c r="J9">
        <v>265.70999999999998</v>
      </c>
      <c r="K9">
        <v>0.13</v>
      </c>
      <c r="L9" t="str">
        <f t="shared" si="5"/>
        <v>Card</v>
      </c>
      <c r="M9" t="s">
        <v>16</v>
      </c>
      <c r="N9">
        <v>2</v>
      </c>
      <c r="O9">
        <v>3.7</v>
      </c>
      <c r="P9">
        <v>1387.01</v>
      </c>
      <c r="Q9">
        <f t="shared" si="1"/>
        <v>1387.01</v>
      </c>
      <c r="R9">
        <f t="shared" si="2"/>
        <v>0</v>
      </c>
      <c r="T9" s="6">
        <v>-0.01</v>
      </c>
      <c r="U9" s="7"/>
    </row>
    <row r="10" spans="1:21" x14ac:dyDescent="0.35">
      <c r="A10">
        <v>10009</v>
      </c>
      <c r="B10" s="1">
        <v>44805</v>
      </c>
      <c r="C10" s="1">
        <f t="shared" si="0"/>
        <v>44570</v>
      </c>
      <c r="D10">
        <v>1614</v>
      </c>
      <c r="E10" t="s">
        <v>15</v>
      </c>
      <c r="F10" t="str">
        <f t="shared" si="3"/>
        <v>Clothing</v>
      </c>
      <c r="G10" t="s">
        <v>13</v>
      </c>
      <c r="H10" t="str">
        <f t="shared" si="4"/>
        <v>South</v>
      </c>
      <c r="I10">
        <v>6</v>
      </c>
      <c r="J10">
        <v>224.65</v>
      </c>
      <c r="K10">
        <v>0.27</v>
      </c>
      <c r="L10" t="str">
        <f t="shared" si="5"/>
        <v>Card</v>
      </c>
      <c r="M10" t="s">
        <v>16</v>
      </c>
      <c r="N10">
        <v>2</v>
      </c>
      <c r="O10">
        <v>1.4</v>
      </c>
      <c r="P10">
        <v>983.97</v>
      </c>
      <c r="Q10">
        <f t="shared" si="1"/>
        <v>983.97</v>
      </c>
      <c r="R10">
        <f t="shared" si="2"/>
        <v>0</v>
      </c>
    </row>
    <row r="11" spans="1:21" x14ac:dyDescent="0.35">
      <c r="A11">
        <v>10010</v>
      </c>
      <c r="B11" s="1">
        <v>44835</v>
      </c>
      <c r="C11" s="1">
        <f t="shared" si="0"/>
        <v>44571</v>
      </c>
      <c r="D11">
        <v>1121</v>
      </c>
      <c r="E11" t="s">
        <v>15</v>
      </c>
      <c r="F11" t="str">
        <f t="shared" si="3"/>
        <v>Clothing</v>
      </c>
      <c r="G11" t="s">
        <v>20</v>
      </c>
      <c r="H11" t="str">
        <f t="shared" si="4"/>
        <v>West</v>
      </c>
      <c r="I11">
        <v>4</v>
      </c>
      <c r="J11">
        <v>272.70999999999998</v>
      </c>
      <c r="K11">
        <v>0.06</v>
      </c>
      <c r="L11" t="str">
        <f t="shared" si="5"/>
        <v>Card</v>
      </c>
      <c r="M11" t="s">
        <v>16</v>
      </c>
      <c r="N11">
        <v>10</v>
      </c>
      <c r="O11">
        <v>4.5</v>
      </c>
      <c r="P11">
        <v>1025.3900000000001</v>
      </c>
      <c r="Q11">
        <f t="shared" si="1"/>
        <v>1025.3900000000001</v>
      </c>
      <c r="R11">
        <f t="shared" si="2"/>
        <v>0</v>
      </c>
    </row>
    <row r="12" spans="1:21" x14ac:dyDescent="0.35">
      <c r="A12">
        <v>10011</v>
      </c>
      <c r="B12" s="1">
        <v>44866</v>
      </c>
      <c r="C12" s="1">
        <f t="shared" si="0"/>
        <v>44572</v>
      </c>
      <c r="D12">
        <v>1466</v>
      </c>
      <c r="E12" t="s">
        <v>15</v>
      </c>
      <c r="F12" t="str">
        <f t="shared" si="3"/>
        <v>Clothing</v>
      </c>
      <c r="G12" t="s">
        <v>20</v>
      </c>
      <c r="H12" t="str">
        <f t="shared" si="4"/>
        <v>West</v>
      </c>
      <c r="I12">
        <v>6</v>
      </c>
      <c r="J12">
        <v>318.88</v>
      </c>
      <c r="K12">
        <v>0.02</v>
      </c>
      <c r="L12" t="str">
        <f t="shared" si="5"/>
        <v>Cod</v>
      </c>
      <c r="M12" t="s">
        <v>18</v>
      </c>
      <c r="N12">
        <v>7</v>
      </c>
      <c r="O12">
        <v>1.4</v>
      </c>
      <c r="P12">
        <v>1875.01</v>
      </c>
      <c r="Q12">
        <f t="shared" si="1"/>
        <v>1875.01</v>
      </c>
      <c r="R12">
        <f t="shared" si="2"/>
        <v>0</v>
      </c>
    </row>
    <row r="13" spans="1:21" x14ac:dyDescent="0.35">
      <c r="A13">
        <v>10012</v>
      </c>
      <c r="B13" s="1">
        <v>44896</v>
      </c>
      <c r="C13" s="1">
        <f t="shared" si="0"/>
        <v>44573</v>
      </c>
      <c r="D13">
        <v>1214</v>
      </c>
      <c r="E13" t="s">
        <v>19</v>
      </c>
      <c r="F13" t="str">
        <f t="shared" si="3"/>
        <v>Electronics</v>
      </c>
      <c r="G13" t="s">
        <v>20</v>
      </c>
      <c r="H13" t="str">
        <f t="shared" si="4"/>
        <v>West</v>
      </c>
      <c r="I13">
        <v>3</v>
      </c>
      <c r="J13">
        <v>384.71</v>
      </c>
      <c r="K13">
        <v>0.14000000000000001</v>
      </c>
      <c r="L13" t="str">
        <f t="shared" si="5"/>
        <v>Cod</v>
      </c>
      <c r="M13" t="s">
        <v>18</v>
      </c>
      <c r="N13">
        <v>11</v>
      </c>
      <c r="O13">
        <v>1.9</v>
      </c>
      <c r="P13">
        <v>992.55</v>
      </c>
      <c r="Q13">
        <f t="shared" si="1"/>
        <v>992.55</v>
      </c>
      <c r="R13">
        <f t="shared" si="2"/>
        <v>0</v>
      </c>
    </row>
    <row r="14" spans="1:21" x14ac:dyDescent="0.35">
      <c r="A14">
        <v>10013</v>
      </c>
      <c r="B14" t="s">
        <v>22</v>
      </c>
      <c r="C14" s="1">
        <f t="shared" si="0"/>
        <v>44574</v>
      </c>
      <c r="D14">
        <v>1330</v>
      </c>
      <c r="E14" t="s">
        <v>12</v>
      </c>
      <c r="F14" t="str">
        <f t="shared" si="3"/>
        <v>Beauty</v>
      </c>
      <c r="G14" t="s">
        <v>13</v>
      </c>
      <c r="H14" t="str">
        <f t="shared" si="4"/>
        <v>South</v>
      </c>
      <c r="I14">
        <v>7</v>
      </c>
      <c r="J14">
        <v>483.41</v>
      </c>
      <c r="K14">
        <v>0.3</v>
      </c>
      <c r="L14" t="str">
        <f t="shared" si="5"/>
        <v>Cod</v>
      </c>
      <c r="M14" t="s">
        <v>18</v>
      </c>
      <c r="N14">
        <v>6</v>
      </c>
      <c r="O14">
        <v>1.4</v>
      </c>
      <c r="P14">
        <v>2368.71</v>
      </c>
      <c r="Q14">
        <f t="shared" si="1"/>
        <v>2368.71</v>
      </c>
      <c r="R14">
        <f t="shared" si="2"/>
        <v>0</v>
      </c>
    </row>
    <row r="15" spans="1:21" x14ac:dyDescent="0.35">
      <c r="A15">
        <v>10014</v>
      </c>
      <c r="B15" t="s">
        <v>23</v>
      </c>
      <c r="C15" s="1">
        <f t="shared" si="0"/>
        <v>44575</v>
      </c>
      <c r="D15">
        <v>1458</v>
      </c>
      <c r="E15" t="s">
        <v>15</v>
      </c>
      <c r="F15" t="str">
        <f t="shared" si="3"/>
        <v>Clothing</v>
      </c>
      <c r="G15" t="s">
        <v>20</v>
      </c>
      <c r="H15" t="str">
        <f t="shared" si="4"/>
        <v>West</v>
      </c>
      <c r="I15">
        <v>7</v>
      </c>
      <c r="J15">
        <v>279.48</v>
      </c>
      <c r="K15">
        <v>0.26</v>
      </c>
      <c r="L15" t="str">
        <f t="shared" si="5"/>
        <v>Cod</v>
      </c>
      <c r="M15" t="s">
        <v>18</v>
      </c>
      <c r="N15">
        <v>8</v>
      </c>
      <c r="O15">
        <v>1.4</v>
      </c>
      <c r="P15">
        <v>1447.71</v>
      </c>
      <c r="Q15">
        <f t="shared" si="1"/>
        <v>1447.71</v>
      </c>
      <c r="R15">
        <f t="shared" si="2"/>
        <v>0</v>
      </c>
    </row>
    <row r="16" spans="1:21" x14ac:dyDescent="0.35">
      <c r="A16">
        <v>10015</v>
      </c>
      <c r="B16" t="s">
        <v>24</v>
      </c>
      <c r="C16" s="1">
        <f t="shared" si="0"/>
        <v>44576</v>
      </c>
      <c r="D16">
        <v>1087</v>
      </c>
      <c r="E16" t="s">
        <v>15</v>
      </c>
      <c r="F16" t="str">
        <f t="shared" si="3"/>
        <v>Clothing</v>
      </c>
      <c r="G16" t="s">
        <v>17</v>
      </c>
      <c r="H16" t="str">
        <f t="shared" si="4"/>
        <v>East</v>
      </c>
      <c r="I16">
        <v>4</v>
      </c>
      <c r="J16">
        <v>493.23</v>
      </c>
      <c r="K16">
        <v>0.18</v>
      </c>
      <c r="L16" t="str">
        <f t="shared" si="5"/>
        <v>Card</v>
      </c>
      <c r="M16" t="s">
        <v>16</v>
      </c>
      <c r="N16">
        <v>9</v>
      </c>
      <c r="O16">
        <v>3.1</v>
      </c>
      <c r="P16">
        <v>1617.79</v>
      </c>
      <c r="Q16">
        <f t="shared" si="1"/>
        <v>1617.79</v>
      </c>
      <c r="R16">
        <f t="shared" si="2"/>
        <v>0</v>
      </c>
    </row>
    <row r="17" spans="1:18" x14ac:dyDescent="0.35">
      <c r="A17">
        <v>10016</v>
      </c>
      <c r="B17" t="s">
        <v>25</v>
      </c>
      <c r="C17" s="1">
        <f t="shared" si="0"/>
        <v>44577</v>
      </c>
      <c r="D17">
        <v>1372</v>
      </c>
      <c r="E17" t="s">
        <v>15</v>
      </c>
      <c r="F17" t="str">
        <f t="shared" si="3"/>
        <v>Clothing</v>
      </c>
      <c r="G17" t="s">
        <v>20</v>
      </c>
      <c r="H17" t="str">
        <f t="shared" si="4"/>
        <v>West</v>
      </c>
      <c r="I17">
        <v>2</v>
      </c>
      <c r="J17">
        <v>327.23</v>
      </c>
      <c r="K17">
        <v>0.2</v>
      </c>
      <c r="L17" t="str">
        <f t="shared" si="5"/>
        <v>Wallet</v>
      </c>
      <c r="M17" t="s">
        <v>14</v>
      </c>
      <c r="N17">
        <v>5</v>
      </c>
      <c r="O17">
        <v>3.7</v>
      </c>
      <c r="P17">
        <v>523.57000000000005</v>
      </c>
      <c r="Q17">
        <f t="shared" si="1"/>
        <v>523.57000000000005</v>
      </c>
      <c r="R17">
        <f t="shared" si="2"/>
        <v>0</v>
      </c>
    </row>
    <row r="18" spans="1:18" x14ac:dyDescent="0.35">
      <c r="A18">
        <v>10017</v>
      </c>
      <c r="B18" t="s">
        <v>26</v>
      </c>
      <c r="C18" s="1">
        <f t="shared" si="0"/>
        <v>44578</v>
      </c>
      <c r="D18">
        <v>1099</v>
      </c>
      <c r="E18" t="s">
        <v>15</v>
      </c>
      <c r="F18" t="str">
        <f t="shared" si="3"/>
        <v>Clothing</v>
      </c>
      <c r="G18" t="s">
        <v>21</v>
      </c>
      <c r="H18" t="str">
        <f t="shared" si="4"/>
        <v>North</v>
      </c>
      <c r="I18">
        <v>3</v>
      </c>
      <c r="J18">
        <v>213.01</v>
      </c>
      <c r="K18">
        <v>0.05</v>
      </c>
      <c r="L18" t="str">
        <f t="shared" si="5"/>
        <v>Wallet</v>
      </c>
      <c r="M18" t="s">
        <v>14</v>
      </c>
      <c r="N18">
        <v>11</v>
      </c>
      <c r="O18">
        <v>4.2</v>
      </c>
      <c r="P18">
        <v>607.08000000000004</v>
      </c>
      <c r="Q18">
        <f t="shared" si="1"/>
        <v>607.08000000000004</v>
      </c>
      <c r="R18">
        <f t="shared" si="2"/>
        <v>0</v>
      </c>
    </row>
    <row r="19" spans="1:18" x14ac:dyDescent="0.35">
      <c r="A19">
        <v>10018</v>
      </c>
      <c r="B19" t="s">
        <v>27</v>
      </c>
      <c r="C19" s="1">
        <f t="shared" si="0"/>
        <v>44579</v>
      </c>
      <c r="D19">
        <v>1871</v>
      </c>
      <c r="E19" t="s">
        <v>19</v>
      </c>
      <c r="F19" t="str">
        <f t="shared" si="3"/>
        <v>Electronics</v>
      </c>
      <c r="G19" t="s">
        <v>17</v>
      </c>
      <c r="H19" t="str">
        <f t="shared" si="4"/>
        <v>East</v>
      </c>
      <c r="I19">
        <v>7</v>
      </c>
      <c r="J19">
        <v>399.9</v>
      </c>
      <c r="K19">
        <v>0.28999999999999998</v>
      </c>
      <c r="L19" t="str">
        <f t="shared" si="5"/>
        <v>Cod</v>
      </c>
      <c r="M19" t="s">
        <v>18</v>
      </c>
      <c r="N19">
        <v>3</v>
      </c>
      <c r="O19">
        <v>3.8</v>
      </c>
      <c r="P19">
        <v>1987.5</v>
      </c>
      <c r="Q19">
        <f t="shared" si="1"/>
        <v>1987.5</v>
      </c>
      <c r="R19">
        <f t="shared" si="2"/>
        <v>0</v>
      </c>
    </row>
    <row r="20" spans="1:18" x14ac:dyDescent="0.35">
      <c r="A20">
        <v>10019</v>
      </c>
      <c r="B20" t="s">
        <v>28</v>
      </c>
      <c r="C20" s="1">
        <f t="shared" si="0"/>
        <v>44580</v>
      </c>
      <c r="D20">
        <v>1663</v>
      </c>
      <c r="E20" t="s">
        <v>29</v>
      </c>
      <c r="F20" t="str">
        <f t="shared" si="3"/>
        <v>Home</v>
      </c>
      <c r="G20" t="s">
        <v>20</v>
      </c>
      <c r="H20" t="str">
        <f t="shared" si="4"/>
        <v>West</v>
      </c>
      <c r="I20">
        <v>3</v>
      </c>
      <c r="J20">
        <v>434.87</v>
      </c>
      <c r="K20">
        <v>0.28000000000000003</v>
      </c>
      <c r="L20" t="str">
        <f t="shared" si="5"/>
        <v>Wallet</v>
      </c>
      <c r="M20" t="s">
        <v>14</v>
      </c>
      <c r="N20">
        <v>4</v>
      </c>
      <c r="O20">
        <v>2.5</v>
      </c>
      <c r="P20">
        <v>939.32</v>
      </c>
      <c r="Q20">
        <f t="shared" si="1"/>
        <v>939.32</v>
      </c>
      <c r="R20">
        <f t="shared" si="2"/>
        <v>0</v>
      </c>
    </row>
    <row r="21" spans="1:18" x14ac:dyDescent="0.35">
      <c r="A21">
        <v>10020</v>
      </c>
      <c r="B21" t="s">
        <v>30</v>
      </c>
      <c r="C21" s="1">
        <f t="shared" si="0"/>
        <v>44581</v>
      </c>
      <c r="D21">
        <v>1130</v>
      </c>
      <c r="E21" t="s">
        <v>19</v>
      </c>
      <c r="F21" t="str">
        <f t="shared" si="3"/>
        <v>Electronics</v>
      </c>
      <c r="G21" t="s">
        <v>17</v>
      </c>
      <c r="H21" t="str">
        <f t="shared" si="4"/>
        <v>East</v>
      </c>
      <c r="I21">
        <v>7</v>
      </c>
      <c r="J21">
        <v>341.46</v>
      </c>
      <c r="K21">
        <v>0.23</v>
      </c>
      <c r="L21" t="str">
        <f t="shared" si="5"/>
        <v>Card</v>
      </c>
      <c r="M21" t="s">
        <v>16</v>
      </c>
      <c r="N21">
        <v>11</v>
      </c>
      <c r="O21">
        <v>3.2</v>
      </c>
      <c r="P21">
        <v>1840.47</v>
      </c>
      <c r="Q21">
        <f t="shared" si="1"/>
        <v>1840.47</v>
      </c>
      <c r="R21">
        <f t="shared" si="2"/>
        <v>0</v>
      </c>
    </row>
    <row r="22" spans="1:18" x14ac:dyDescent="0.35">
      <c r="A22">
        <v>10021</v>
      </c>
      <c r="B22" t="s">
        <v>31</v>
      </c>
      <c r="C22" s="1">
        <f t="shared" si="0"/>
        <v>44582</v>
      </c>
      <c r="D22" s="2" t="s">
        <v>320</v>
      </c>
      <c r="E22" t="s">
        <v>29</v>
      </c>
      <c r="F22" t="str">
        <f t="shared" si="3"/>
        <v>Home</v>
      </c>
      <c r="G22" t="s">
        <v>20</v>
      </c>
      <c r="H22" t="str">
        <f t="shared" si="4"/>
        <v>West</v>
      </c>
      <c r="I22">
        <v>1</v>
      </c>
      <c r="J22">
        <v>48.12</v>
      </c>
      <c r="K22">
        <v>0.16</v>
      </c>
      <c r="L22" t="str">
        <f t="shared" si="5"/>
        <v>Cod</v>
      </c>
      <c r="M22" t="s">
        <v>18</v>
      </c>
      <c r="N22">
        <v>8</v>
      </c>
      <c r="O22">
        <v>4.7</v>
      </c>
      <c r="P22">
        <v>40.42</v>
      </c>
      <c r="Q22">
        <f t="shared" si="1"/>
        <v>40.42</v>
      </c>
      <c r="R22">
        <f t="shared" si="2"/>
        <v>0</v>
      </c>
    </row>
    <row r="23" spans="1:18" x14ac:dyDescent="0.35">
      <c r="A23">
        <v>10022</v>
      </c>
      <c r="B23" t="s">
        <v>32</v>
      </c>
      <c r="C23" s="1">
        <f t="shared" si="0"/>
        <v>44583</v>
      </c>
      <c r="D23">
        <v>1308</v>
      </c>
      <c r="E23" t="s">
        <v>29</v>
      </c>
      <c r="F23" t="str">
        <f t="shared" si="3"/>
        <v>Home</v>
      </c>
      <c r="G23" t="s">
        <v>21</v>
      </c>
      <c r="H23" t="str">
        <f t="shared" si="4"/>
        <v>North</v>
      </c>
      <c r="I23">
        <v>2</v>
      </c>
      <c r="J23">
        <v>114.38</v>
      </c>
      <c r="K23">
        <v>0.34</v>
      </c>
      <c r="L23" t="str">
        <f t="shared" si="5"/>
        <v>Card</v>
      </c>
      <c r="M23" t="s">
        <v>16</v>
      </c>
      <c r="N23">
        <v>3</v>
      </c>
      <c r="O23">
        <v>2.6</v>
      </c>
      <c r="P23">
        <v>150.97999999999999</v>
      </c>
      <c r="Q23">
        <f t="shared" si="1"/>
        <v>150.97999999999999</v>
      </c>
      <c r="R23">
        <f t="shared" si="2"/>
        <v>0</v>
      </c>
    </row>
    <row r="24" spans="1:18" x14ac:dyDescent="0.35">
      <c r="A24">
        <v>10023</v>
      </c>
      <c r="B24" t="s">
        <v>33</v>
      </c>
      <c r="C24" s="1">
        <f t="shared" si="0"/>
        <v>44584</v>
      </c>
      <c r="D24">
        <v>1769</v>
      </c>
      <c r="E24" t="s">
        <v>29</v>
      </c>
      <c r="F24" t="str">
        <f t="shared" si="3"/>
        <v>Home</v>
      </c>
      <c r="G24" t="s">
        <v>20</v>
      </c>
      <c r="H24" t="str">
        <f t="shared" si="4"/>
        <v>West</v>
      </c>
      <c r="I24">
        <v>2</v>
      </c>
      <c r="J24">
        <v>181.9</v>
      </c>
      <c r="K24">
        <v>0.31</v>
      </c>
      <c r="L24" t="str">
        <f t="shared" si="5"/>
        <v>Card</v>
      </c>
      <c r="M24" t="s">
        <v>16</v>
      </c>
      <c r="N24">
        <v>2</v>
      </c>
      <c r="O24">
        <v>2</v>
      </c>
      <c r="P24">
        <v>251.02</v>
      </c>
      <c r="Q24">
        <f t="shared" si="1"/>
        <v>251.02</v>
      </c>
      <c r="R24">
        <f t="shared" si="2"/>
        <v>0</v>
      </c>
    </row>
    <row r="25" spans="1:18" x14ac:dyDescent="0.35">
      <c r="A25">
        <v>10024</v>
      </c>
      <c r="B25" t="s">
        <v>34</v>
      </c>
      <c r="C25" s="1">
        <f t="shared" si="0"/>
        <v>44585</v>
      </c>
      <c r="D25">
        <v>1343</v>
      </c>
      <c r="E25" t="s">
        <v>15</v>
      </c>
      <c r="F25" t="str">
        <f t="shared" si="3"/>
        <v>Clothing</v>
      </c>
      <c r="G25" t="s">
        <v>17</v>
      </c>
      <c r="H25" t="str">
        <f t="shared" si="4"/>
        <v>East</v>
      </c>
      <c r="I25">
        <v>1</v>
      </c>
      <c r="J25">
        <v>180.34</v>
      </c>
      <c r="K25">
        <v>0.23</v>
      </c>
      <c r="L25" t="str">
        <f t="shared" si="5"/>
        <v>Card</v>
      </c>
      <c r="M25" t="s">
        <v>16</v>
      </c>
      <c r="N25">
        <v>7</v>
      </c>
      <c r="O25">
        <v>3.1</v>
      </c>
      <c r="P25">
        <v>138.86000000000001</v>
      </c>
      <c r="Q25">
        <f t="shared" si="1"/>
        <v>138.86000000000001</v>
      </c>
      <c r="R25">
        <f t="shared" si="2"/>
        <v>0</v>
      </c>
    </row>
    <row r="26" spans="1:18" x14ac:dyDescent="0.35">
      <c r="A26">
        <v>10025</v>
      </c>
      <c r="B26" t="s">
        <v>35</v>
      </c>
      <c r="C26" s="1">
        <f t="shared" si="0"/>
        <v>44586</v>
      </c>
      <c r="D26">
        <v>1491</v>
      </c>
      <c r="E26" t="s">
        <v>15</v>
      </c>
      <c r="F26" t="str">
        <f t="shared" si="3"/>
        <v>Clothing</v>
      </c>
      <c r="G26" t="s">
        <v>21</v>
      </c>
      <c r="H26" t="str">
        <f t="shared" si="4"/>
        <v>North</v>
      </c>
      <c r="I26">
        <v>4</v>
      </c>
      <c r="J26">
        <v>408.95</v>
      </c>
      <c r="K26">
        <v>0.13</v>
      </c>
      <c r="L26" t="str">
        <f t="shared" si="5"/>
        <v>Cod</v>
      </c>
      <c r="M26" t="s">
        <v>18</v>
      </c>
      <c r="N26">
        <v>4</v>
      </c>
      <c r="O26">
        <v>2.2000000000000002</v>
      </c>
      <c r="P26">
        <v>1423.15</v>
      </c>
      <c r="Q26">
        <f t="shared" si="1"/>
        <v>1423.15</v>
      </c>
      <c r="R26">
        <f t="shared" si="2"/>
        <v>0</v>
      </c>
    </row>
    <row r="27" spans="1:18" x14ac:dyDescent="0.35">
      <c r="A27">
        <v>10026</v>
      </c>
      <c r="B27" t="s">
        <v>36</v>
      </c>
      <c r="C27" s="1">
        <f t="shared" si="0"/>
        <v>44587</v>
      </c>
      <c r="D27">
        <v>1413</v>
      </c>
      <c r="E27" t="s">
        <v>19</v>
      </c>
      <c r="F27" t="str">
        <f t="shared" si="3"/>
        <v>Electronics</v>
      </c>
      <c r="G27" t="s">
        <v>13</v>
      </c>
      <c r="H27" t="str">
        <f t="shared" si="4"/>
        <v>South</v>
      </c>
      <c r="I27">
        <v>7</v>
      </c>
      <c r="J27">
        <v>25.73</v>
      </c>
      <c r="K27">
        <v>0.22</v>
      </c>
      <c r="L27" t="str">
        <f t="shared" si="5"/>
        <v>Card</v>
      </c>
      <c r="M27" t="s">
        <v>16</v>
      </c>
      <c r="N27">
        <v>8</v>
      </c>
      <c r="O27">
        <v>2</v>
      </c>
      <c r="P27">
        <v>140.49</v>
      </c>
      <c r="Q27">
        <f t="shared" si="1"/>
        <v>140.49</v>
      </c>
      <c r="R27">
        <f t="shared" si="2"/>
        <v>0</v>
      </c>
    </row>
    <row r="28" spans="1:18" x14ac:dyDescent="0.35">
      <c r="A28">
        <v>10027</v>
      </c>
      <c r="B28" t="s">
        <v>37</v>
      </c>
      <c r="C28" s="1">
        <f t="shared" si="0"/>
        <v>44588</v>
      </c>
      <c r="D28">
        <v>1805</v>
      </c>
      <c r="E28" t="s">
        <v>29</v>
      </c>
      <c r="F28" t="str">
        <f t="shared" si="3"/>
        <v>Home</v>
      </c>
      <c r="G28" t="s">
        <v>21</v>
      </c>
      <c r="H28" t="str">
        <f t="shared" si="4"/>
        <v>North</v>
      </c>
      <c r="I28">
        <v>7</v>
      </c>
      <c r="J28">
        <v>457.07</v>
      </c>
      <c r="K28">
        <v>0.2</v>
      </c>
      <c r="L28" t="str">
        <f t="shared" si="5"/>
        <v>Cod</v>
      </c>
      <c r="M28" t="s">
        <v>18</v>
      </c>
      <c r="N28">
        <v>1</v>
      </c>
      <c r="O28">
        <v>4.0999999999999996</v>
      </c>
      <c r="P28">
        <v>2559.59</v>
      </c>
      <c r="Q28">
        <f t="shared" si="1"/>
        <v>2559.59</v>
      </c>
      <c r="R28">
        <f t="shared" si="2"/>
        <v>0</v>
      </c>
    </row>
    <row r="29" spans="1:18" x14ac:dyDescent="0.35">
      <c r="A29">
        <v>10028</v>
      </c>
      <c r="B29" t="s">
        <v>38</v>
      </c>
      <c r="C29" s="1">
        <f t="shared" si="0"/>
        <v>44589</v>
      </c>
      <c r="D29">
        <v>1385</v>
      </c>
      <c r="E29" t="s">
        <v>19</v>
      </c>
      <c r="F29" t="str">
        <f t="shared" si="3"/>
        <v>Electronics</v>
      </c>
      <c r="G29" t="s">
        <v>21</v>
      </c>
      <c r="H29" t="str">
        <f t="shared" si="4"/>
        <v>North</v>
      </c>
      <c r="I29">
        <v>7</v>
      </c>
      <c r="J29">
        <v>170.23</v>
      </c>
      <c r="K29">
        <v>0.14000000000000001</v>
      </c>
      <c r="L29" t="str">
        <f t="shared" si="5"/>
        <v>Card</v>
      </c>
      <c r="M29" t="s">
        <v>16</v>
      </c>
      <c r="N29">
        <v>8</v>
      </c>
      <c r="O29">
        <v>4.5999999999999996</v>
      </c>
      <c r="P29">
        <v>1024.78</v>
      </c>
      <c r="Q29">
        <f t="shared" si="1"/>
        <v>1024.78</v>
      </c>
      <c r="R29">
        <f t="shared" si="2"/>
        <v>0</v>
      </c>
    </row>
    <row r="30" spans="1:18" x14ac:dyDescent="0.35">
      <c r="A30">
        <v>10029</v>
      </c>
      <c r="B30" t="s">
        <v>39</v>
      </c>
      <c r="C30" s="1">
        <f t="shared" si="0"/>
        <v>44590</v>
      </c>
      <c r="D30">
        <v>1191</v>
      </c>
      <c r="E30" t="s">
        <v>15</v>
      </c>
      <c r="F30" t="str">
        <f t="shared" si="3"/>
        <v>Clothing</v>
      </c>
      <c r="G30" t="s">
        <v>21</v>
      </c>
      <c r="H30" t="str">
        <f t="shared" si="4"/>
        <v>North</v>
      </c>
      <c r="I30">
        <v>6</v>
      </c>
      <c r="J30">
        <v>196.36</v>
      </c>
      <c r="K30">
        <v>0.11</v>
      </c>
      <c r="L30" t="str">
        <f t="shared" si="5"/>
        <v>Wallet</v>
      </c>
      <c r="M30" t="s">
        <v>14</v>
      </c>
      <c r="N30">
        <v>5</v>
      </c>
      <c r="O30">
        <v>3</v>
      </c>
      <c r="P30">
        <v>1048.56</v>
      </c>
      <c r="Q30">
        <f t="shared" si="1"/>
        <v>1048.56</v>
      </c>
      <c r="R30">
        <f t="shared" si="2"/>
        <v>0</v>
      </c>
    </row>
    <row r="31" spans="1:18" x14ac:dyDescent="0.35">
      <c r="A31">
        <v>10030</v>
      </c>
      <c r="B31" t="s">
        <v>40</v>
      </c>
      <c r="C31" s="1">
        <f t="shared" si="0"/>
        <v>44591</v>
      </c>
      <c r="D31">
        <v>1955</v>
      </c>
      <c r="E31" t="s">
        <v>19</v>
      </c>
      <c r="F31" t="str">
        <f t="shared" si="3"/>
        <v>Electronics</v>
      </c>
      <c r="G31" t="s">
        <v>17</v>
      </c>
      <c r="H31" t="str">
        <f t="shared" si="4"/>
        <v>East</v>
      </c>
      <c r="I31">
        <v>6</v>
      </c>
      <c r="J31">
        <v>323.83</v>
      </c>
      <c r="K31">
        <v>0.14000000000000001</v>
      </c>
      <c r="L31" t="str">
        <f t="shared" si="5"/>
        <v>Cod</v>
      </c>
      <c r="M31" t="s">
        <v>18</v>
      </c>
      <c r="N31">
        <v>2</v>
      </c>
      <c r="O31">
        <v>4.0999999999999996</v>
      </c>
      <c r="P31">
        <v>1670.96</v>
      </c>
      <c r="Q31">
        <f t="shared" si="1"/>
        <v>1670.96</v>
      </c>
      <c r="R31">
        <f t="shared" si="2"/>
        <v>0</v>
      </c>
    </row>
    <row r="32" spans="1:18" x14ac:dyDescent="0.35">
      <c r="A32">
        <v>10031</v>
      </c>
      <c r="B32" t="s">
        <v>41</v>
      </c>
      <c r="C32" s="1">
        <f t="shared" si="0"/>
        <v>44592</v>
      </c>
      <c r="D32">
        <v>1276</v>
      </c>
      <c r="E32" t="s">
        <v>19</v>
      </c>
      <c r="F32" t="str">
        <f t="shared" si="3"/>
        <v>Electronics</v>
      </c>
      <c r="G32" t="s">
        <v>21</v>
      </c>
      <c r="H32" t="str">
        <f t="shared" si="4"/>
        <v>North</v>
      </c>
      <c r="I32">
        <v>6</v>
      </c>
      <c r="J32">
        <v>141.32</v>
      </c>
      <c r="K32">
        <v>0.2</v>
      </c>
      <c r="L32" t="str">
        <f t="shared" si="5"/>
        <v>Card</v>
      </c>
      <c r="M32" t="s">
        <v>16</v>
      </c>
      <c r="N32">
        <v>1</v>
      </c>
      <c r="O32">
        <v>1.7</v>
      </c>
      <c r="P32">
        <v>678.34</v>
      </c>
      <c r="Q32">
        <f t="shared" si="1"/>
        <v>678.34</v>
      </c>
      <c r="R32">
        <f t="shared" si="2"/>
        <v>0</v>
      </c>
    </row>
    <row r="33" spans="1:18" x14ac:dyDescent="0.35">
      <c r="A33">
        <v>10032</v>
      </c>
      <c r="B33" s="1">
        <v>44563</v>
      </c>
      <c r="C33" s="1">
        <f t="shared" si="0"/>
        <v>44593</v>
      </c>
      <c r="D33">
        <v>1160</v>
      </c>
      <c r="E33" t="s">
        <v>15</v>
      </c>
      <c r="F33" t="str">
        <f t="shared" si="3"/>
        <v>Clothing</v>
      </c>
      <c r="G33" t="s">
        <v>20</v>
      </c>
      <c r="H33" t="str">
        <f t="shared" si="4"/>
        <v>West</v>
      </c>
      <c r="I33">
        <v>6</v>
      </c>
      <c r="J33">
        <v>532.41999999999996</v>
      </c>
      <c r="K33">
        <v>0.15</v>
      </c>
      <c r="L33" t="str">
        <f t="shared" si="5"/>
        <v>Card</v>
      </c>
      <c r="M33" t="s">
        <v>16</v>
      </c>
      <c r="N33">
        <v>6</v>
      </c>
      <c r="O33">
        <v>3.2</v>
      </c>
      <c r="P33">
        <v>2715.34</v>
      </c>
      <c r="Q33">
        <f t="shared" si="1"/>
        <v>2715.34</v>
      </c>
      <c r="R33">
        <f t="shared" si="2"/>
        <v>0</v>
      </c>
    </row>
    <row r="34" spans="1:18" x14ac:dyDescent="0.35">
      <c r="A34">
        <v>10033</v>
      </c>
      <c r="B34" s="1">
        <v>44594</v>
      </c>
      <c r="C34" s="1">
        <f t="shared" si="0"/>
        <v>44594</v>
      </c>
      <c r="D34">
        <v>1459</v>
      </c>
      <c r="E34" t="s">
        <v>19</v>
      </c>
      <c r="F34" t="str">
        <f t="shared" si="3"/>
        <v>Electronics</v>
      </c>
      <c r="G34" t="s">
        <v>21</v>
      </c>
      <c r="H34" t="str">
        <f t="shared" si="4"/>
        <v>North</v>
      </c>
      <c r="I34">
        <v>6</v>
      </c>
      <c r="J34">
        <v>64.94</v>
      </c>
      <c r="K34">
        <v>0.09</v>
      </c>
      <c r="L34" t="str">
        <f t="shared" si="5"/>
        <v>Wallet</v>
      </c>
      <c r="M34" t="s">
        <v>14</v>
      </c>
      <c r="N34">
        <v>9</v>
      </c>
      <c r="O34">
        <v>3.5</v>
      </c>
      <c r="P34">
        <v>354.57</v>
      </c>
      <c r="Q34">
        <f t="shared" si="1"/>
        <v>354.57</v>
      </c>
      <c r="R34">
        <f t="shared" si="2"/>
        <v>0</v>
      </c>
    </row>
    <row r="35" spans="1:18" x14ac:dyDescent="0.35">
      <c r="A35">
        <v>10034</v>
      </c>
      <c r="B35" s="1">
        <v>44622</v>
      </c>
      <c r="C35" s="1">
        <f t="shared" si="0"/>
        <v>44595</v>
      </c>
      <c r="D35">
        <v>1313</v>
      </c>
      <c r="E35" t="s">
        <v>29</v>
      </c>
      <c r="F35" t="str">
        <f t="shared" si="3"/>
        <v>Home</v>
      </c>
      <c r="G35" t="s">
        <v>21</v>
      </c>
      <c r="H35" t="str">
        <f t="shared" si="4"/>
        <v>North</v>
      </c>
      <c r="I35">
        <v>1</v>
      </c>
      <c r="J35">
        <v>274.95999999999998</v>
      </c>
      <c r="K35">
        <v>0.27</v>
      </c>
      <c r="L35" t="str">
        <f t="shared" si="5"/>
        <v>Card</v>
      </c>
      <c r="M35" t="s">
        <v>16</v>
      </c>
      <c r="N35">
        <v>9</v>
      </c>
      <c r="O35">
        <v>3</v>
      </c>
      <c r="P35">
        <v>200.72</v>
      </c>
      <c r="Q35">
        <f t="shared" si="1"/>
        <v>200.72</v>
      </c>
      <c r="R35">
        <f t="shared" si="2"/>
        <v>0</v>
      </c>
    </row>
    <row r="36" spans="1:18" x14ac:dyDescent="0.35">
      <c r="A36">
        <v>10035</v>
      </c>
      <c r="B36" s="1">
        <v>44653</v>
      </c>
      <c r="C36" s="1">
        <f t="shared" si="0"/>
        <v>44596</v>
      </c>
      <c r="D36">
        <v>1021</v>
      </c>
      <c r="E36" t="s">
        <v>19</v>
      </c>
      <c r="F36" t="str">
        <f t="shared" si="3"/>
        <v>Electronics</v>
      </c>
      <c r="G36" t="s">
        <v>20</v>
      </c>
      <c r="H36" t="str">
        <f t="shared" si="4"/>
        <v>West</v>
      </c>
      <c r="I36">
        <v>2</v>
      </c>
      <c r="J36">
        <v>511.91</v>
      </c>
      <c r="K36">
        <v>0.19</v>
      </c>
      <c r="L36" t="str">
        <f t="shared" si="5"/>
        <v>Cod</v>
      </c>
      <c r="M36" t="s">
        <v>18</v>
      </c>
      <c r="N36">
        <v>9</v>
      </c>
      <c r="O36">
        <v>1.5</v>
      </c>
      <c r="P36">
        <v>829.29</v>
      </c>
      <c r="Q36">
        <f t="shared" si="1"/>
        <v>829.29</v>
      </c>
      <c r="R36">
        <f t="shared" si="2"/>
        <v>0</v>
      </c>
    </row>
    <row r="37" spans="1:18" x14ac:dyDescent="0.35">
      <c r="A37">
        <v>10036</v>
      </c>
      <c r="B37" s="1">
        <v>44683</v>
      </c>
      <c r="C37" s="1">
        <f t="shared" si="0"/>
        <v>44597</v>
      </c>
      <c r="D37">
        <v>1252</v>
      </c>
      <c r="E37" t="s">
        <v>19</v>
      </c>
      <c r="F37" t="str">
        <f t="shared" si="3"/>
        <v>Electronics</v>
      </c>
      <c r="G37" t="s">
        <v>20</v>
      </c>
      <c r="H37" t="str">
        <f t="shared" si="4"/>
        <v>West</v>
      </c>
      <c r="I37">
        <v>4</v>
      </c>
      <c r="J37">
        <v>375.27</v>
      </c>
      <c r="K37">
        <v>0.02</v>
      </c>
      <c r="L37" t="str">
        <f t="shared" si="5"/>
        <v>Cod</v>
      </c>
      <c r="M37" t="s">
        <v>18</v>
      </c>
      <c r="N37">
        <v>11</v>
      </c>
      <c r="O37">
        <v>3.9</v>
      </c>
      <c r="P37">
        <v>1471.06</v>
      </c>
      <c r="Q37">
        <f t="shared" si="1"/>
        <v>1471.06</v>
      </c>
      <c r="R37">
        <f t="shared" si="2"/>
        <v>0</v>
      </c>
    </row>
    <row r="38" spans="1:18" x14ac:dyDescent="0.35">
      <c r="A38">
        <v>10037</v>
      </c>
      <c r="B38" s="1">
        <v>44714</v>
      </c>
      <c r="C38" s="1">
        <f t="shared" si="0"/>
        <v>44598</v>
      </c>
      <c r="D38">
        <v>1747</v>
      </c>
      <c r="E38" t="s">
        <v>15</v>
      </c>
      <c r="F38" t="str">
        <f t="shared" si="3"/>
        <v>Clothing</v>
      </c>
      <c r="G38" t="s">
        <v>13</v>
      </c>
      <c r="H38" t="str">
        <f t="shared" si="4"/>
        <v>South</v>
      </c>
      <c r="I38">
        <v>3</v>
      </c>
      <c r="J38">
        <v>186.01</v>
      </c>
      <c r="K38">
        <v>0.13</v>
      </c>
      <c r="L38" t="str">
        <f t="shared" si="5"/>
        <v>Card</v>
      </c>
      <c r="M38" t="s">
        <v>16</v>
      </c>
      <c r="N38">
        <v>4</v>
      </c>
      <c r="O38">
        <v>4.4000000000000004</v>
      </c>
      <c r="P38">
        <v>485.49</v>
      </c>
      <c r="Q38">
        <f t="shared" si="1"/>
        <v>485.49</v>
      </c>
      <c r="R38">
        <f t="shared" si="2"/>
        <v>0</v>
      </c>
    </row>
    <row r="39" spans="1:18" x14ac:dyDescent="0.35">
      <c r="A39">
        <v>10038</v>
      </c>
      <c r="B39" s="1">
        <v>44744</v>
      </c>
      <c r="C39" s="1">
        <f t="shared" si="0"/>
        <v>44599</v>
      </c>
      <c r="D39">
        <v>1856</v>
      </c>
      <c r="E39" t="s">
        <v>19</v>
      </c>
      <c r="F39" t="str">
        <f t="shared" si="3"/>
        <v>Electronics</v>
      </c>
      <c r="G39" t="s">
        <v>21</v>
      </c>
      <c r="H39" t="str">
        <f t="shared" si="4"/>
        <v>North</v>
      </c>
      <c r="I39">
        <v>6</v>
      </c>
      <c r="J39">
        <v>261.14</v>
      </c>
      <c r="K39">
        <v>0.31</v>
      </c>
      <c r="L39" t="str">
        <f t="shared" si="5"/>
        <v>Card</v>
      </c>
      <c r="M39" t="s">
        <v>16</v>
      </c>
      <c r="N39">
        <v>6</v>
      </c>
      <c r="O39">
        <v>3.5</v>
      </c>
      <c r="P39">
        <v>1081.1199999999999</v>
      </c>
      <c r="Q39">
        <f t="shared" si="1"/>
        <v>1081.1199999999999</v>
      </c>
      <c r="R39">
        <f t="shared" si="2"/>
        <v>0</v>
      </c>
    </row>
    <row r="40" spans="1:18" x14ac:dyDescent="0.35">
      <c r="A40">
        <v>10039</v>
      </c>
      <c r="B40" s="1">
        <v>44775</v>
      </c>
      <c r="C40" s="1">
        <f t="shared" si="0"/>
        <v>44600</v>
      </c>
      <c r="D40">
        <v>1560</v>
      </c>
      <c r="E40" t="s">
        <v>19</v>
      </c>
      <c r="F40" t="str">
        <f t="shared" si="3"/>
        <v>Electronics</v>
      </c>
      <c r="G40" t="s">
        <v>17</v>
      </c>
      <c r="H40" t="str">
        <f t="shared" si="4"/>
        <v>East</v>
      </c>
      <c r="I40">
        <v>1</v>
      </c>
      <c r="J40">
        <v>428.42</v>
      </c>
      <c r="K40">
        <v>0.26</v>
      </c>
      <c r="L40" t="str">
        <f t="shared" si="5"/>
        <v>Cod</v>
      </c>
      <c r="M40" t="s">
        <v>18</v>
      </c>
      <c r="N40">
        <v>10</v>
      </c>
      <c r="O40">
        <v>1.7</v>
      </c>
      <c r="P40">
        <v>317.02999999999997</v>
      </c>
      <c r="Q40">
        <f t="shared" si="1"/>
        <v>317.02999999999997</v>
      </c>
      <c r="R40">
        <f t="shared" si="2"/>
        <v>0</v>
      </c>
    </row>
    <row r="41" spans="1:18" x14ac:dyDescent="0.35">
      <c r="A41">
        <v>10040</v>
      </c>
      <c r="B41" s="1">
        <v>44806</v>
      </c>
      <c r="C41" s="1">
        <f t="shared" si="0"/>
        <v>44601</v>
      </c>
      <c r="D41">
        <v>1474</v>
      </c>
      <c r="E41" t="s">
        <v>29</v>
      </c>
      <c r="F41" t="str">
        <f t="shared" si="3"/>
        <v>Home</v>
      </c>
      <c r="G41" t="s">
        <v>21</v>
      </c>
      <c r="H41" t="str">
        <f t="shared" si="4"/>
        <v>North</v>
      </c>
      <c r="I41">
        <v>7</v>
      </c>
      <c r="J41">
        <v>584.36</v>
      </c>
      <c r="K41">
        <v>0.11</v>
      </c>
      <c r="L41" t="str">
        <f t="shared" si="5"/>
        <v>Card</v>
      </c>
      <c r="M41" t="s">
        <v>16</v>
      </c>
      <c r="N41">
        <v>6</v>
      </c>
      <c r="O41">
        <v>1.3</v>
      </c>
      <c r="P41">
        <v>3640.56</v>
      </c>
      <c r="Q41">
        <f t="shared" si="1"/>
        <v>3640.56</v>
      </c>
      <c r="R41">
        <f t="shared" si="2"/>
        <v>0</v>
      </c>
    </row>
    <row r="42" spans="1:18" x14ac:dyDescent="0.35">
      <c r="A42">
        <v>10041</v>
      </c>
      <c r="B42" s="1">
        <v>44836</v>
      </c>
      <c r="C42" s="1">
        <f t="shared" si="0"/>
        <v>44602</v>
      </c>
      <c r="D42">
        <v>1058</v>
      </c>
      <c r="E42" t="s">
        <v>19</v>
      </c>
      <c r="F42" t="str">
        <f t="shared" si="3"/>
        <v>Electronics</v>
      </c>
      <c r="G42" t="s">
        <v>21</v>
      </c>
      <c r="H42" t="str">
        <f t="shared" si="4"/>
        <v>North</v>
      </c>
      <c r="I42">
        <v>4</v>
      </c>
      <c r="J42">
        <v>537.49</v>
      </c>
      <c r="K42">
        <v>0.33</v>
      </c>
      <c r="L42" t="str">
        <f t="shared" si="5"/>
        <v>Card</v>
      </c>
      <c r="M42" t="s">
        <v>16</v>
      </c>
      <c r="N42">
        <v>5</v>
      </c>
      <c r="O42">
        <v>2.2000000000000002</v>
      </c>
      <c r="P42">
        <v>1440.47</v>
      </c>
      <c r="Q42">
        <f t="shared" si="1"/>
        <v>1440.47</v>
      </c>
      <c r="R42">
        <f t="shared" si="2"/>
        <v>0</v>
      </c>
    </row>
    <row r="43" spans="1:18" x14ac:dyDescent="0.35">
      <c r="A43">
        <v>10042</v>
      </c>
      <c r="B43" s="1">
        <v>44867</v>
      </c>
      <c r="C43" s="1">
        <f t="shared" si="0"/>
        <v>44603</v>
      </c>
      <c r="D43">
        <v>1510</v>
      </c>
      <c r="E43" t="s">
        <v>29</v>
      </c>
      <c r="F43" t="str">
        <f t="shared" si="3"/>
        <v>Home</v>
      </c>
      <c r="G43" t="s">
        <v>20</v>
      </c>
      <c r="H43" t="str">
        <f t="shared" si="4"/>
        <v>West</v>
      </c>
      <c r="I43">
        <v>4</v>
      </c>
      <c r="J43">
        <v>215.32</v>
      </c>
      <c r="K43">
        <v>0.03</v>
      </c>
      <c r="L43" t="str">
        <f t="shared" si="5"/>
        <v>Card</v>
      </c>
      <c r="M43" t="s">
        <v>16</v>
      </c>
      <c r="N43">
        <v>2</v>
      </c>
      <c r="O43">
        <v>1.1000000000000001</v>
      </c>
      <c r="P43">
        <v>835.44</v>
      </c>
      <c r="Q43">
        <f t="shared" si="1"/>
        <v>835.44</v>
      </c>
      <c r="R43">
        <f t="shared" si="2"/>
        <v>0</v>
      </c>
    </row>
    <row r="44" spans="1:18" x14ac:dyDescent="0.35">
      <c r="A44">
        <v>10043</v>
      </c>
      <c r="B44" s="1">
        <v>44897</v>
      </c>
      <c r="C44" s="1">
        <f t="shared" si="0"/>
        <v>44604</v>
      </c>
      <c r="D44">
        <v>1681</v>
      </c>
      <c r="E44" t="s">
        <v>19</v>
      </c>
      <c r="F44" t="str">
        <f t="shared" si="3"/>
        <v>Electronics</v>
      </c>
      <c r="G44" t="s">
        <v>13</v>
      </c>
      <c r="H44" t="str">
        <f t="shared" si="4"/>
        <v>South</v>
      </c>
      <c r="I44">
        <v>4</v>
      </c>
      <c r="J44">
        <v>598.95000000000005</v>
      </c>
      <c r="K44">
        <v>0.34</v>
      </c>
      <c r="L44" t="str">
        <f t="shared" si="5"/>
        <v>Card</v>
      </c>
      <c r="M44" t="s">
        <v>16</v>
      </c>
      <c r="N44">
        <v>7</v>
      </c>
      <c r="O44">
        <v>4.4000000000000004</v>
      </c>
      <c r="P44">
        <v>1581.23</v>
      </c>
      <c r="Q44">
        <f t="shared" si="1"/>
        <v>1581.23</v>
      </c>
      <c r="R44">
        <f t="shared" si="2"/>
        <v>0</v>
      </c>
    </row>
    <row r="45" spans="1:18" x14ac:dyDescent="0.35">
      <c r="A45">
        <v>10044</v>
      </c>
      <c r="B45" t="s">
        <v>42</v>
      </c>
      <c r="C45" s="1">
        <f t="shared" si="0"/>
        <v>44605</v>
      </c>
      <c r="D45">
        <v>1475</v>
      </c>
      <c r="E45" t="s">
        <v>19</v>
      </c>
      <c r="F45" t="str">
        <f t="shared" si="3"/>
        <v>Electronics</v>
      </c>
      <c r="G45" t="s">
        <v>21</v>
      </c>
      <c r="H45" t="str">
        <f t="shared" si="4"/>
        <v>North</v>
      </c>
      <c r="I45">
        <v>1</v>
      </c>
      <c r="J45">
        <v>17.05</v>
      </c>
      <c r="K45">
        <v>0.09</v>
      </c>
      <c r="L45" t="str">
        <f t="shared" si="5"/>
        <v>Card</v>
      </c>
      <c r="M45" t="s">
        <v>16</v>
      </c>
      <c r="N45">
        <v>1</v>
      </c>
      <c r="O45">
        <v>3.8</v>
      </c>
      <c r="P45">
        <v>15.52</v>
      </c>
      <c r="Q45">
        <f t="shared" si="1"/>
        <v>15.52</v>
      </c>
      <c r="R45">
        <f t="shared" si="2"/>
        <v>0</v>
      </c>
    </row>
    <row r="46" spans="1:18" x14ac:dyDescent="0.35">
      <c r="A46">
        <v>10045</v>
      </c>
      <c r="B46" t="s">
        <v>43</v>
      </c>
      <c r="C46" s="1">
        <f t="shared" si="0"/>
        <v>44606</v>
      </c>
      <c r="D46">
        <v>1699</v>
      </c>
      <c r="E46" t="s">
        <v>29</v>
      </c>
      <c r="F46" t="str">
        <f t="shared" si="3"/>
        <v>Home</v>
      </c>
      <c r="G46" t="s">
        <v>17</v>
      </c>
      <c r="H46" t="str">
        <f t="shared" si="4"/>
        <v>East</v>
      </c>
      <c r="I46">
        <v>3</v>
      </c>
      <c r="J46">
        <v>31.16</v>
      </c>
      <c r="K46">
        <v>0</v>
      </c>
      <c r="L46" t="str">
        <f t="shared" si="5"/>
        <v>Wallet</v>
      </c>
      <c r="M46" t="s">
        <v>14</v>
      </c>
      <c r="N46">
        <v>6</v>
      </c>
      <c r="O46">
        <v>3.3</v>
      </c>
      <c r="P46">
        <v>93.48</v>
      </c>
      <c r="Q46">
        <f t="shared" si="1"/>
        <v>93.48</v>
      </c>
      <c r="R46">
        <f t="shared" si="2"/>
        <v>0</v>
      </c>
    </row>
    <row r="47" spans="1:18" x14ac:dyDescent="0.35">
      <c r="A47">
        <v>10046</v>
      </c>
      <c r="B47" t="s">
        <v>44</v>
      </c>
      <c r="C47" s="1">
        <f t="shared" si="0"/>
        <v>44607</v>
      </c>
      <c r="D47">
        <v>1975</v>
      </c>
      <c r="E47" t="s">
        <v>19</v>
      </c>
      <c r="F47" t="str">
        <f t="shared" si="3"/>
        <v>Electronics</v>
      </c>
      <c r="G47" t="s">
        <v>21</v>
      </c>
      <c r="H47" t="str">
        <f t="shared" si="4"/>
        <v>North</v>
      </c>
      <c r="I47">
        <v>6</v>
      </c>
      <c r="J47">
        <v>496.95</v>
      </c>
      <c r="K47">
        <v>0.15</v>
      </c>
      <c r="L47" t="str">
        <f t="shared" si="5"/>
        <v>Cod</v>
      </c>
      <c r="M47" t="s">
        <v>18</v>
      </c>
      <c r="N47">
        <v>5</v>
      </c>
      <c r="O47">
        <v>4.5999999999999996</v>
      </c>
      <c r="P47">
        <v>2534.44</v>
      </c>
      <c r="Q47">
        <f t="shared" si="1"/>
        <v>2534.4499999999998</v>
      </c>
      <c r="R47">
        <f t="shared" si="2"/>
        <v>-0.01</v>
      </c>
    </row>
    <row r="48" spans="1:18" x14ac:dyDescent="0.35">
      <c r="A48">
        <v>10047</v>
      </c>
      <c r="B48" t="s">
        <v>45</v>
      </c>
      <c r="C48" s="1">
        <f t="shared" si="0"/>
        <v>44608</v>
      </c>
      <c r="D48">
        <v>1782</v>
      </c>
      <c r="E48" t="s">
        <v>19</v>
      </c>
      <c r="F48" t="str">
        <f t="shared" si="3"/>
        <v>Electronics</v>
      </c>
      <c r="G48" t="s">
        <v>17</v>
      </c>
      <c r="H48" t="str">
        <f t="shared" si="4"/>
        <v>East</v>
      </c>
      <c r="I48">
        <v>4</v>
      </c>
      <c r="J48">
        <v>131.69</v>
      </c>
      <c r="K48">
        <v>0.13</v>
      </c>
      <c r="L48" t="str">
        <f t="shared" si="5"/>
        <v>Cod</v>
      </c>
      <c r="M48" t="s">
        <v>18</v>
      </c>
      <c r="N48">
        <v>5</v>
      </c>
      <c r="O48">
        <v>1.4</v>
      </c>
      <c r="P48">
        <v>458.28</v>
      </c>
      <c r="Q48">
        <f t="shared" si="1"/>
        <v>458.28</v>
      </c>
      <c r="R48">
        <f t="shared" si="2"/>
        <v>0</v>
      </c>
    </row>
    <row r="49" spans="1:18" x14ac:dyDescent="0.35">
      <c r="A49">
        <v>10048</v>
      </c>
      <c r="B49" t="s">
        <v>46</v>
      </c>
      <c r="C49" s="1">
        <f t="shared" si="0"/>
        <v>44609</v>
      </c>
      <c r="D49">
        <v>1189</v>
      </c>
      <c r="E49" t="s">
        <v>15</v>
      </c>
      <c r="F49" t="str">
        <f t="shared" si="3"/>
        <v>Clothing</v>
      </c>
      <c r="G49" t="s">
        <v>20</v>
      </c>
      <c r="H49" t="str">
        <f t="shared" si="4"/>
        <v>West</v>
      </c>
      <c r="I49">
        <v>1</v>
      </c>
      <c r="J49">
        <v>50.55</v>
      </c>
      <c r="K49">
        <v>0.19</v>
      </c>
      <c r="L49" t="str">
        <f t="shared" si="5"/>
        <v>Card</v>
      </c>
      <c r="M49" t="s">
        <v>16</v>
      </c>
      <c r="N49">
        <v>8</v>
      </c>
      <c r="O49">
        <v>3.9</v>
      </c>
      <c r="P49">
        <v>40.950000000000003</v>
      </c>
      <c r="Q49">
        <f t="shared" si="1"/>
        <v>40.950000000000003</v>
      </c>
      <c r="R49">
        <f t="shared" si="2"/>
        <v>0</v>
      </c>
    </row>
    <row r="50" spans="1:18" x14ac:dyDescent="0.35">
      <c r="A50">
        <v>10049</v>
      </c>
      <c r="B50" t="s">
        <v>47</v>
      </c>
      <c r="C50" s="1">
        <f t="shared" si="0"/>
        <v>44610</v>
      </c>
      <c r="D50">
        <v>1957</v>
      </c>
      <c r="E50" t="s">
        <v>19</v>
      </c>
      <c r="F50" t="str">
        <f t="shared" si="3"/>
        <v>Electronics</v>
      </c>
      <c r="G50" t="s">
        <v>13</v>
      </c>
      <c r="H50" t="str">
        <f t="shared" si="4"/>
        <v>South</v>
      </c>
      <c r="I50">
        <v>7</v>
      </c>
      <c r="J50">
        <v>153.72999999999999</v>
      </c>
      <c r="K50">
        <v>0.28000000000000003</v>
      </c>
      <c r="L50" t="str">
        <f t="shared" si="5"/>
        <v>Card</v>
      </c>
      <c r="M50" t="s">
        <v>16</v>
      </c>
      <c r="N50">
        <v>9</v>
      </c>
      <c r="O50">
        <v>1.6</v>
      </c>
      <c r="P50">
        <v>774.8</v>
      </c>
      <c r="Q50">
        <f t="shared" si="1"/>
        <v>774.8</v>
      </c>
      <c r="R50">
        <f t="shared" si="2"/>
        <v>0</v>
      </c>
    </row>
    <row r="51" spans="1:18" x14ac:dyDescent="0.35">
      <c r="A51">
        <v>10050</v>
      </c>
      <c r="B51" t="s">
        <v>48</v>
      </c>
      <c r="C51" s="1">
        <f t="shared" si="0"/>
        <v>44611</v>
      </c>
      <c r="D51">
        <v>1686</v>
      </c>
      <c r="E51" t="s">
        <v>29</v>
      </c>
      <c r="F51" t="str">
        <f t="shared" si="3"/>
        <v>Home</v>
      </c>
      <c r="G51" t="s">
        <v>21</v>
      </c>
      <c r="H51" t="str">
        <f t="shared" si="4"/>
        <v>North</v>
      </c>
      <c r="I51">
        <v>2</v>
      </c>
      <c r="J51">
        <v>264.27</v>
      </c>
      <c r="K51">
        <v>0.28999999999999998</v>
      </c>
      <c r="L51" t="str">
        <f t="shared" si="5"/>
        <v>Wallet</v>
      </c>
      <c r="M51" t="s">
        <v>14</v>
      </c>
      <c r="N51">
        <v>7</v>
      </c>
      <c r="O51">
        <v>1.2</v>
      </c>
      <c r="P51">
        <v>375.26</v>
      </c>
      <c r="Q51">
        <f t="shared" si="1"/>
        <v>375.26</v>
      </c>
      <c r="R51">
        <f t="shared" si="2"/>
        <v>0</v>
      </c>
    </row>
    <row r="52" spans="1:18" x14ac:dyDescent="0.35">
      <c r="A52">
        <v>10051</v>
      </c>
      <c r="B52" t="s">
        <v>49</v>
      </c>
      <c r="C52" s="1">
        <f t="shared" si="0"/>
        <v>44612</v>
      </c>
      <c r="D52">
        <v>1957</v>
      </c>
      <c r="E52" t="s">
        <v>19</v>
      </c>
      <c r="F52" t="str">
        <f t="shared" si="3"/>
        <v>Electronics</v>
      </c>
      <c r="G52" t="s">
        <v>13</v>
      </c>
      <c r="H52" t="str">
        <f t="shared" si="4"/>
        <v>South</v>
      </c>
      <c r="I52">
        <v>7</v>
      </c>
      <c r="J52">
        <v>442.38</v>
      </c>
      <c r="K52">
        <v>0.14000000000000001</v>
      </c>
      <c r="L52" t="str">
        <f t="shared" si="5"/>
        <v>Cod</v>
      </c>
      <c r="M52" t="s">
        <v>18</v>
      </c>
      <c r="N52">
        <v>10</v>
      </c>
      <c r="O52">
        <v>1.5</v>
      </c>
      <c r="P52">
        <v>2663.13</v>
      </c>
      <c r="Q52">
        <f t="shared" si="1"/>
        <v>2663.13</v>
      </c>
      <c r="R52">
        <f t="shared" si="2"/>
        <v>0</v>
      </c>
    </row>
    <row r="53" spans="1:18" x14ac:dyDescent="0.35">
      <c r="A53">
        <v>10052</v>
      </c>
      <c r="B53" t="s">
        <v>50</v>
      </c>
      <c r="C53" s="1">
        <f t="shared" si="0"/>
        <v>44613</v>
      </c>
      <c r="D53">
        <v>1562</v>
      </c>
      <c r="E53" t="s">
        <v>29</v>
      </c>
      <c r="F53" t="str">
        <f t="shared" si="3"/>
        <v>Home</v>
      </c>
      <c r="G53" t="s">
        <v>21</v>
      </c>
      <c r="H53" t="str">
        <f t="shared" si="4"/>
        <v>North</v>
      </c>
      <c r="I53">
        <v>1</v>
      </c>
      <c r="J53">
        <v>380.24</v>
      </c>
      <c r="K53">
        <v>0.15</v>
      </c>
      <c r="L53" t="str">
        <f t="shared" si="5"/>
        <v>Card</v>
      </c>
      <c r="M53" t="s">
        <v>16</v>
      </c>
      <c r="N53">
        <v>8</v>
      </c>
      <c r="O53">
        <v>4.8</v>
      </c>
      <c r="P53">
        <v>323.2</v>
      </c>
      <c r="Q53">
        <f t="shared" si="1"/>
        <v>323.2</v>
      </c>
      <c r="R53">
        <f t="shared" si="2"/>
        <v>0</v>
      </c>
    </row>
    <row r="54" spans="1:18" x14ac:dyDescent="0.35">
      <c r="A54">
        <v>10053</v>
      </c>
      <c r="B54" t="s">
        <v>51</v>
      </c>
      <c r="C54" s="1">
        <f t="shared" si="0"/>
        <v>44614</v>
      </c>
      <c r="D54">
        <v>1875</v>
      </c>
      <c r="E54" t="s">
        <v>12</v>
      </c>
      <c r="F54" t="str">
        <f t="shared" si="3"/>
        <v>Beauty</v>
      </c>
      <c r="G54" t="s">
        <v>17</v>
      </c>
      <c r="H54" t="str">
        <f t="shared" si="4"/>
        <v>East</v>
      </c>
      <c r="I54">
        <v>1</v>
      </c>
      <c r="J54">
        <v>154.01</v>
      </c>
      <c r="K54">
        <v>0.05</v>
      </c>
      <c r="L54" t="str">
        <f t="shared" si="5"/>
        <v>Card</v>
      </c>
      <c r="M54" t="s">
        <v>16</v>
      </c>
      <c r="N54">
        <v>2</v>
      </c>
      <c r="O54">
        <v>2.8</v>
      </c>
      <c r="P54">
        <v>146.31</v>
      </c>
      <c r="Q54">
        <f t="shared" si="1"/>
        <v>146.31</v>
      </c>
      <c r="R54">
        <f t="shared" si="2"/>
        <v>0</v>
      </c>
    </row>
    <row r="55" spans="1:18" x14ac:dyDescent="0.35">
      <c r="A55">
        <v>10054</v>
      </c>
      <c r="B55" t="s">
        <v>52</v>
      </c>
      <c r="C55" s="1">
        <f t="shared" si="0"/>
        <v>44615</v>
      </c>
      <c r="D55">
        <v>1566</v>
      </c>
      <c r="E55" t="s">
        <v>15</v>
      </c>
      <c r="F55" t="str">
        <f t="shared" si="3"/>
        <v>Clothing</v>
      </c>
      <c r="G55" t="s">
        <v>13</v>
      </c>
      <c r="H55" t="str">
        <f t="shared" si="4"/>
        <v>South</v>
      </c>
      <c r="I55">
        <v>1</v>
      </c>
      <c r="J55">
        <v>309.41000000000003</v>
      </c>
      <c r="K55">
        <v>0.02</v>
      </c>
      <c r="L55" t="str">
        <f t="shared" si="5"/>
        <v>Cod</v>
      </c>
      <c r="M55" t="s">
        <v>18</v>
      </c>
      <c r="N55">
        <v>2</v>
      </c>
      <c r="O55">
        <v>1.2</v>
      </c>
      <c r="P55">
        <v>303.22000000000003</v>
      </c>
      <c r="Q55">
        <f t="shared" si="1"/>
        <v>303.22000000000003</v>
      </c>
      <c r="R55">
        <f t="shared" si="2"/>
        <v>0</v>
      </c>
    </row>
    <row r="56" spans="1:18" x14ac:dyDescent="0.35">
      <c r="A56">
        <v>10055</v>
      </c>
      <c r="B56" t="s">
        <v>53</v>
      </c>
      <c r="C56" s="1">
        <f t="shared" si="0"/>
        <v>44616</v>
      </c>
      <c r="D56">
        <v>1243</v>
      </c>
      <c r="E56" t="s">
        <v>12</v>
      </c>
      <c r="F56" t="str">
        <f t="shared" si="3"/>
        <v>Beauty</v>
      </c>
      <c r="G56" t="s">
        <v>21</v>
      </c>
      <c r="H56" t="str">
        <f t="shared" si="4"/>
        <v>North</v>
      </c>
      <c r="I56">
        <v>4</v>
      </c>
      <c r="J56">
        <v>556.84</v>
      </c>
      <c r="K56">
        <v>0.22</v>
      </c>
      <c r="L56" t="str">
        <f t="shared" si="5"/>
        <v>Wallet</v>
      </c>
      <c r="M56" t="s">
        <v>14</v>
      </c>
      <c r="N56">
        <v>8</v>
      </c>
      <c r="O56">
        <v>3.3</v>
      </c>
      <c r="P56">
        <v>1737.34</v>
      </c>
      <c r="Q56">
        <f t="shared" si="1"/>
        <v>1737.34</v>
      </c>
      <c r="R56">
        <f t="shared" si="2"/>
        <v>0</v>
      </c>
    </row>
    <row r="57" spans="1:18" x14ac:dyDescent="0.35">
      <c r="A57">
        <v>10056</v>
      </c>
      <c r="B57" t="s">
        <v>54</v>
      </c>
      <c r="C57" s="1">
        <f t="shared" si="0"/>
        <v>44617</v>
      </c>
      <c r="D57">
        <v>1831</v>
      </c>
      <c r="E57" t="s">
        <v>15</v>
      </c>
      <c r="F57" t="str">
        <f t="shared" si="3"/>
        <v>Clothing</v>
      </c>
      <c r="G57" t="s">
        <v>20</v>
      </c>
      <c r="H57" t="str">
        <f t="shared" si="4"/>
        <v>West</v>
      </c>
      <c r="I57">
        <v>1</v>
      </c>
      <c r="J57">
        <v>491.78</v>
      </c>
      <c r="K57">
        <v>0.02</v>
      </c>
      <c r="L57" t="str">
        <f t="shared" si="5"/>
        <v>Card</v>
      </c>
      <c r="M57" t="s">
        <v>16</v>
      </c>
      <c r="N57">
        <v>6</v>
      </c>
      <c r="O57">
        <v>1.8</v>
      </c>
      <c r="P57">
        <v>481.94</v>
      </c>
      <c r="Q57">
        <f t="shared" si="1"/>
        <v>481.94</v>
      </c>
      <c r="R57">
        <f t="shared" si="2"/>
        <v>0</v>
      </c>
    </row>
    <row r="58" spans="1:18" x14ac:dyDescent="0.35">
      <c r="A58">
        <v>10057</v>
      </c>
      <c r="B58" t="s">
        <v>55</v>
      </c>
      <c r="C58" s="1">
        <f t="shared" si="0"/>
        <v>44618</v>
      </c>
      <c r="D58">
        <v>1504</v>
      </c>
      <c r="E58" t="s">
        <v>12</v>
      </c>
      <c r="F58" t="str">
        <f t="shared" si="3"/>
        <v>Beauty</v>
      </c>
      <c r="G58" t="s">
        <v>17</v>
      </c>
      <c r="H58" t="str">
        <f t="shared" si="4"/>
        <v>East</v>
      </c>
      <c r="I58">
        <v>2</v>
      </c>
      <c r="J58">
        <v>204.07</v>
      </c>
      <c r="K58">
        <v>0.26</v>
      </c>
      <c r="L58" t="str">
        <f t="shared" si="5"/>
        <v>Cod</v>
      </c>
      <c r="M58" t="s">
        <v>18</v>
      </c>
      <c r="N58">
        <v>8</v>
      </c>
      <c r="O58">
        <v>1</v>
      </c>
      <c r="P58">
        <v>302.02</v>
      </c>
      <c r="Q58">
        <f t="shared" si="1"/>
        <v>302.02</v>
      </c>
      <c r="R58">
        <f t="shared" si="2"/>
        <v>0</v>
      </c>
    </row>
    <row r="59" spans="1:18" x14ac:dyDescent="0.35">
      <c r="A59">
        <v>10058</v>
      </c>
      <c r="B59" t="s">
        <v>56</v>
      </c>
      <c r="C59" s="1">
        <f t="shared" si="0"/>
        <v>44619</v>
      </c>
      <c r="D59">
        <v>1130</v>
      </c>
      <c r="E59" t="s">
        <v>19</v>
      </c>
      <c r="F59" t="str">
        <f t="shared" si="3"/>
        <v>Electronics</v>
      </c>
      <c r="G59" t="s">
        <v>13</v>
      </c>
      <c r="H59" t="str">
        <f t="shared" si="4"/>
        <v>South</v>
      </c>
      <c r="I59">
        <v>4</v>
      </c>
      <c r="J59">
        <v>589.62</v>
      </c>
      <c r="K59">
        <v>0.19</v>
      </c>
      <c r="L59" t="str">
        <f t="shared" si="5"/>
        <v>Cod</v>
      </c>
      <c r="M59" t="s">
        <v>18</v>
      </c>
      <c r="N59">
        <v>9</v>
      </c>
      <c r="O59">
        <v>4</v>
      </c>
      <c r="P59">
        <v>1910.37</v>
      </c>
      <c r="Q59">
        <f t="shared" si="1"/>
        <v>1910.37</v>
      </c>
      <c r="R59">
        <f t="shared" si="2"/>
        <v>0</v>
      </c>
    </row>
    <row r="60" spans="1:18" x14ac:dyDescent="0.35">
      <c r="A60">
        <v>10059</v>
      </c>
      <c r="B60" t="s">
        <v>57</v>
      </c>
      <c r="C60" s="1">
        <f t="shared" si="0"/>
        <v>44620</v>
      </c>
      <c r="D60">
        <v>1484</v>
      </c>
      <c r="E60" t="s">
        <v>29</v>
      </c>
      <c r="F60" t="str">
        <f t="shared" si="3"/>
        <v>Home</v>
      </c>
      <c r="G60" t="s">
        <v>21</v>
      </c>
      <c r="H60" t="str">
        <f t="shared" si="4"/>
        <v>North</v>
      </c>
      <c r="I60">
        <v>7</v>
      </c>
      <c r="J60">
        <v>429.54</v>
      </c>
      <c r="K60">
        <v>7.0000000000000007E-2</v>
      </c>
      <c r="L60" t="str">
        <f t="shared" si="5"/>
        <v>Wallet</v>
      </c>
      <c r="M60" t="s">
        <v>14</v>
      </c>
      <c r="N60">
        <v>9</v>
      </c>
      <c r="O60">
        <v>1.6</v>
      </c>
      <c r="P60">
        <v>2796.31</v>
      </c>
      <c r="Q60">
        <f t="shared" si="1"/>
        <v>2796.31</v>
      </c>
      <c r="R60">
        <f t="shared" si="2"/>
        <v>0</v>
      </c>
    </row>
    <row r="61" spans="1:18" x14ac:dyDescent="0.35">
      <c r="A61">
        <v>10060</v>
      </c>
      <c r="B61" s="1">
        <v>44564</v>
      </c>
      <c r="C61" s="1">
        <f t="shared" si="0"/>
        <v>44621</v>
      </c>
      <c r="D61">
        <v>1818</v>
      </c>
      <c r="E61" t="s">
        <v>15</v>
      </c>
      <c r="F61" t="str">
        <f t="shared" si="3"/>
        <v>Clothing</v>
      </c>
      <c r="G61" t="s">
        <v>13</v>
      </c>
      <c r="H61" t="str">
        <f t="shared" si="4"/>
        <v>South</v>
      </c>
      <c r="I61">
        <v>2</v>
      </c>
      <c r="J61">
        <v>51.53</v>
      </c>
      <c r="K61">
        <v>0.19</v>
      </c>
      <c r="L61" t="str">
        <f t="shared" si="5"/>
        <v>Wallet</v>
      </c>
      <c r="M61" t="s">
        <v>14</v>
      </c>
      <c r="N61">
        <v>11</v>
      </c>
      <c r="O61">
        <v>4.8</v>
      </c>
      <c r="P61">
        <v>83.48</v>
      </c>
      <c r="Q61">
        <f t="shared" si="1"/>
        <v>83.48</v>
      </c>
      <c r="R61">
        <f t="shared" si="2"/>
        <v>0</v>
      </c>
    </row>
    <row r="62" spans="1:18" x14ac:dyDescent="0.35">
      <c r="A62">
        <v>10061</v>
      </c>
      <c r="B62" s="1">
        <v>44595</v>
      </c>
      <c r="C62" s="1">
        <f t="shared" si="0"/>
        <v>44622</v>
      </c>
      <c r="D62">
        <v>1646</v>
      </c>
      <c r="E62" t="s">
        <v>15</v>
      </c>
      <c r="F62" t="str">
        <f t="shared" si="3"/>
        <v>Clothing</v>
      </c>
      <c r="G62" t="s">
        <v>21</v>
      </c>
      <c r="H62" t="str">
        <f t="shared" si="4"/>
        <v>North</v>
      </c>
      <c r="I62">
        <v>5</v>
      </c>
      <c r="J62">
        <v>35.57</v>
      </c>
      <c r="K62">
        <v>0.06</v>
      </c>
      <c r="L62" t="str">
        <f t="shared" si="5"/>
        <v>Card</v>
      </c>
      <c r="M62" t="s">
        <v>16</v>
      </c>
      <c r="N62">
        <v>6</v>
      </c>
      <c r="O62">
        <v>3.4</v>
      </c>
      <c r="P62">
        <v>167.18</v>
      </c>
      <c r="Q62">
        <f t="shared" si="1"/>
        <v>167.18</v>
      </c>
      <c r="R62">
        <f t="shared" si="2"/>
        <v>0</v>
      </c>
    </row>
    <row r="63" spans="1:18" x14ac:dyDescent="0.35">
      <c r="A63">
        <v>10062</v>
      </c>
      <c r="B63" s="1">
        <v>44623</v>
      </c>
      <c r="C63" s="1">
        <f t="shared" si="0"/>
        <v>44623</v>
      </c>
      <c r="D63">
        <v>1020</v>
      </c>
      <c r="E63" t="s">
        <v>15</v>
      </c>
      <c r="F63" t="str">
        <f t="shared" si="3"/>
        <v>Clothing</v>
      </c>
      <c r="G63" t="s">
        <v>17</v>
      </c>
      <c r="H63" t="str">
        <f t="shared" si="4"/>
        <v>East</v>
      </c>
      <c r="I63">
        <v>7</v>
      </c>
      <c r="J63">
        <v>113.52</v>
      </c>
      <c r="K63">
        <v>0.15</v>
      </c>
      <c r="L63" t="str">
        <f t="shared" si="5"/>
        <v>Cod</v>
      </c>
      <c r="M63" t="s">
        <v>18</v>
      </c>
      <c r="N63">
        <v>8</v>
      </c>
      <c r="O63">
        <v>1.3</v>
      </c>
      <c r="P63">
        <v>675.44</v>
      </c>
      <c r="Q63">
        <f t="shared" si="1"/>
        <v>675.44</v>
      </c>
      <c r="R63">
        <f t="shared" si="2"/>
        <v>0</v>
      </c>
    </row>
    <row r="64" spans="1:18" x14ac:dyDescent="0.35">
      <c r="A64">
        <v>10063</v>
      </c>
      <c r="B64" s="1">
        <v>44654</v>
      </c>
      <c r="C64" s="1">
        <f t="shared" si="0"/>
        <v>44624</v>
      </c>
      <c r="D64">
        <v>1840</v>
      </c>
      <c r="E64" t="s">
        <v>29</v>
      </c>
      <c r="F64" t="str">
        <f t="shared" si="3"/>
        <v>Home</v>
      </c>
      <c r="G64" t="s">
        <v>20</v>
      </c>
      <c r="H64" t="str">
        <f t="shared" si="4"/>
        <v>West</v>
      </c>
      <c r="I64">
        <v>1</v>
      </c>
      <c r="J64">
        <v>440.8</v>
      </c>
      <c r="K64">
        <v>0.28000000000000003</v>
      </c>
      <c r="L64" t="str">
        <f t="shared" si="5"/>
        <v>Cod</v>
      </c>
      <c r="M64" t="s">
        <v>18</v>
      </c>
      <c r="N64">
        <v>2</v>
      </c>
      <c r="O64">
        <v>1.9</v>
      </c>
      <c r="P64">
        <v>317.38</v>
      </c>
      <c r="Q64">
        <f t="shared" si="1"/>
        <v>317.38</v>
      </c>
      <c r="R64">
        <f t="shared" si="2"/>
        <v>0</v>
      </c>
    </row>
    <row r="65" spans="1:18" x14ac:dyDescent="0.35">
      <c r="A65">
        <v>10064</v>
      </c>
      <c r="B65" s="1">
        <v>44684</v>
      </c>
      <c r="C65" s="1">
        <f t="shared" si="0"/>
        <v>44625</v>
      </c>
      <c r="D65">
        <v>1166</v>
      </c>
      <c r="E65" t="s">
        <v>19</v>
      </c>
      <c r="F65" t="str">
        <f t="shared" si="3"/>
        <v>Electronics</v>
      </c>
      <c r="G65" t="s">
        <v>17</v>
      </c>
      <c r="H65" t="str">
        <f t="shared" si="4"/>
        <v>East</v>
      </c>
      <c r="I65">
        <v>6</v>
      </c>
      <c r="J65">
        <v>122.49</v>
      </c>
      <c r="K65">
        <v>0.16</v>
      </c>
      <c r="L65" t="str">
        <f t="shared" si="5"/>
        <v>Cod</v>
      </c>
      <c r="M65" t="s">
        <v>18</v>
      </c>
      <c r="N65">
        <v>8</v>
      </c>
      <c r="O65">
        <v>3.4</v>
      </c>
      <c r="P65">
        <v>617.35</v>
      </c>
      <c r="Q65">
        <f t="shared" si="1"/>
        <v>617.35</v>
      </c>
      <c r="R65">
        <f t="shared" si="2"/>
        <v>0</v>
      </c>
    </row>
    <row r="66" spans="1:18" x14ac:dyDescent="0.35">
      <c r="A66">
        <v>10065</v>
      </c>
      <c r="B66" s="1">
        <v>44715</v>
      </c>
      <c r="C66" s="1">
        <f t="shared" ref="C66:C129" si="6">DATE(2022,1,1)+A66-10001</f>
        <v>44626</v>
      </c>
      <c r="D66">
        <v>1273</v>
      </c>
      <c r="E66" t="s">
        <v>19</v>
      </c>
      <c r="F66" t="str">
        <f t="shared" si="3"/>
        <v>Electronics</v>
      </c>
      <c r="G66" t="s">
        <v>13</v>
      </c>
      <c r="H66" t="str">
        <f t="shared" si="4"/>
        <v>South</v>
      </c>
      <c r="I66">
        <v>6</v>
      </c>
      <c r="J66">
        <v>314.22000000000003</v>
      </c>
      <c r="K66">
        <v>0.05</v>
      </c>
      <c r="L66" t="str">
        <f t="shared" si="5"/>
        <v>Wallet</v>
      </c>
      <c r="M66" t="s">
        <v>14</v>
      </c>
      <c r="N66">
        <v>3</v>
      </c>
      <c r="O66">
        <v>2.4</v>
      </c>
      <c r="P66">
        <v>1791.05</v>
      </c>
      <c r="Q66">
        <f t="shared" ref="Q66:Q129" si="7">ROUND(I66*J66*(1-K66),2)</f>
        <v>1791.05</v>
      </c>
      <c r="R66">
        <f t="shared" ref="R66:R129" si="8">ROUND(P66-Q66,2)</f>
        <v>0</v>
      </c>
    </row>
    <row r="67" spans="1:18" x14ac:dyDescent="0.35">
      <c r="A67">
        <v>10066</v>
      </c>
      <c r="B67" s="1">
        <v>44745</v>
      </c>
      <c r="C67" s="1">
        <f t="shared" si="6"/>
        <v>44627</v>
      </c>
      <c r="D67">
        <v>1387</v>
      </c>
      <c r="E67" t="s">
        <v>29</v>
      </c>
      <c r="F67" t="str">
        <f t="shared" ref="F67:F130" si="9">TRIM(PROPER(E67))</f>
        <v>Home</v>
      </c>
      <c r="G67" t="s">
        <v>13</v>
      </c>
      <c r="H67" t="str">
        <f t="shared" ref="H67:H130" si="10">TRIM(PROPER(G67))</f>
        <v>South</v>
      </c>
      <c r="I67">
        <v>4</v>
      </c>
      <c r="J67">
        <v>69.56</v>
      </c>
      <c r="K67">
        <v>0.25</v>
      </c>
      <c r="L67" t="str">
        <f t="shared" ref="L67:L130" si="11">TRIM(PROPER(M67))</f>
        <v>Wallet</v>
      </c>
      <c r="M67" t="s">
        <v>14</v>
      </c>
      <c r="N67">
        <v>1</v>
      </c>
      <c r="O67">
        <v>3.1</v>
      </c>
      <c r="P67">
        <v>208.68</v>
      </c>
      <c r="Q67">
        <f t="shared" si="7"/>
        <v>208.68</v>
      </c>
      <c r="R67">
        <f t="shared" si="8"/>
        <v>0</v>
      </c>
    </row>
    <row r="68" spans="1:18" x14ac:dyDescent="0.35">
      <c r="A68">
        <v>10067</v>
      </c>
      <c r="B68" s="1">
        <v>44776</v>
      </c>
      <c r="C68" s="1">
        <f t="shared" si="6"/>
        <v>44628</v>
      </c>
      <c r="D68">
        <v>1600</v>
      </c>
      <c r="E68" t="s">
        <v>29</v>
      </c>
      <c r="F68" t="str">
        <f t="shared" si="9"/>
        <v>Home</v>
      </c>
      <c r="G68" t="s">
        <v>21</v>
      </c>
      <c r="H68" t="str">
        <f t="shared" si="10"/>
        <v>North</v>
      </c>
      <c r="I68">
        <v>6</v>
      </c>
      <c r="J68">
        <v>553.72</v>
      </c>
      <c r="K68">
        <v>7.0000000000000007E-2</v>
      </c>
      <c r="L68" t="str">
        <f t="shared" si="11"/>
        <v>Card</v>
      </c>
      <c r="M68" t="s">
        <v>16</v>
      </c>
      <c r="N68">
        <v>7</v>
      </c>
      <c r="O68">
        <v>4.2</v>
      </c>
      <c r="P68">
        <v>3089.76</v>
      </c>
      <c r="Q68">
        <f t="shared" si="7"/>
        <v>3089.76</v>
      </c>
      <c r="R68">
        <f t="shared" si="8"/>
        <v>0</v>
      </c>
    </row>
    <row r="69" spans="1:18" x14ac:dyDescent="0.35">
      <c r="A69">
        <v>10068</v>
      </c>
      <c r="B69" s="1">
        <v>44807</v>
      </c>
      <c r="C69" s="1">
        <f t="shared" si="6"/>
        <v>44629</v>
      </c>
      <c r="D69">
        <v>1315</v>
      </c>
      <c r="E69" t="s">
        <v>12</v>
      </c>
      <c r="F69" t="str">
        <f t="shared" si="9"/>
        <v>Beauty</v>
      </c>
      <c r="G69" t="s">
        <v>17</v>
      </c>
      <c r="H69" t="str">
        <f t="shared" si="10"/>
        <v>East</v>
      </c>
      <c r="I69">
        <v>7</v>
      </c>
      <c r="J69">
        <v>216.22</v>
      </c>
      <c r="K69">
        <v>0.26</v>
      </c>
      <c r="L69" t="str">
        <f t="shared" si="11"/>
        <v>Card</v>
      </c>
      <c r="M69" t="s">
        <v>16</v>
      </c>
      <c r="N69">
        <v>1</v>
      </c>
      <c r="O69">
        <v>4.2</v>
      </c>
      <c r="P69">
        <v>1120.02</v>
      </c>
      <c r="Q69">
        <f t="shared" si="7"/>
        <v>1120.02</v>
      </c>
      <c r="R69">
        <f t="shared" si="8"/>
        <v>0</v>
      </c>
    </row>
    <row r="70" spans="1:18" x14ac:dyDescent="0.35">
      <c r="A70">
        <v>10069</v>
      </c>
      <c r="B70" s="1">
        <v>44837</v>
      </c>
      <c r="C70" s="1">
        <f t="shared" si="6"/>
        <v>44630</v>
      </c>
      <c r="D70">
        <v>1013</v>
      </c>
      <c r="E70" t="s">
        <v>29</v>
      </c>
      <c r="F70" t="str">
        <f t="shared" si="9"/>
        <v>Home</v>
      </c>
      <c r="G70" t="s">
        <v>21</v>
      </c>
      <c r="H70" t="str">
        <f t="shared" si="10"/>
        <v>North</v>
      </c>
      <c r="I70">
        <v>4</v>
      </c>
      <c r="J70">
        <v>546.26</v>
      </c>
      <c r="K70">
        <v>0.17</v>
      </c>
      <c r="L70" t="str">
        <f t="shared" si="11"/>
        <v>Cod</v>
      </c>
      <c r="M70" t="s">
        <v>18</v>
      </c>
      <c r="N70">
        <v>11</v>
      </c>
      <c r="O70">
        <v>3.8</v>
      </c>
      <c r="P70">
        <v>1813.58</v>
      </c>
      <c r="Q70">
        <f t="shared" si="7"/>
        <v>1813.58</v>
      </c>
      <c r="R70">
        <f t="shared" si="8"/>
        <v>0</v>
      </c>
    </row>
    <row r="71" spans="1:18" x14ac:dyDescent="0.35">
      <c r="A71">
        <v>10070</v>
      </c>
      <c r="B71" s="1">
        <v>44868</v>
      </c>
      <c r="C71" s="1">
        <f t="shared" si="6"/>
        <v>44631</v>
      </c>
      <c r="D71">
        <v>1241</v>
      </c>
      <c r="E71" t="s">
        <v>12</v>
      </c>
      <c r="F71" t="str">
        <f t="shared" si="9"/>
        <v>Beauty</v>
      </c>
      <c r="G71" t="s">
        <v>17</v>
      </c>
      <c r="H71" t="str">
        <f t="shared" si="10"/>
        <v>East</v>
      </c>
      <c r="I71">
        <v>7</v>
      </c>
      <c r="J71">
        <v>567.75</v>
      </c>
      <c r="K71">
        <v>0.16</v>
      </c>
      <c r="L71" t="str">
        <f t="shared" si="11"/>
        <v>Card</v>
      </c>
      <c r="M71" t="s">
        <v>16</v>
      </c>
      <c r="N71">
        <v>1</v>
      </c>
      <c r="O71">
        <v>4.5</v>
      </c>
      <c r="P71">
        <v>3338.37</v>
      </c>
      <c r="Q71">
        <f t="shared" si="7"/>
        <v>3338.37</v>
      </c>
      <c r="R71">
        <f t="shared" si="8"/>
        <v>0</v>
      </c>
    </row>
    <row r="72" spans="1:18" x14ac:dyDescent="0.35">
      <c r="A72">
        <v>10071</v>
      </c>
      <c r="B72" s="1">
        <v>44898</v>
      </c>
      <c r="C72" s="1">
        <f t="shared" si="6"/>
        <v>44632</v>
      </c>
      <c r="D72">
        <v>1776</v>
      </c>
      <c r="E72" t="s">
        <v>29</v>
      </c>
      <c r="F72" t="str">
        <f t="shared" si="9"/>
        <v>Home</v>
      </c>
      <c r="G72" t="s">
        <v>13</v>
      </c>
      <c r="H72" t="str">
        <f t="shared" si="10"/>
        <v>South</v>
      </c>
      <c r="I72">
        <v>1</v>
      </c>
      <c r="J72">
        <v>18.59</v>
      </c>
      <c r="K72">
        <v>0.3</v>
      </c>
      <c r="L72" t="str">
        <f t="shared" si="11"/>
        <v>Card</v>
      </c>
      <c r="M72" t="s">
        <v>16</v>
      </c>
      <c r="N72">
        <v>1</v>
      </c>
      <c r="O72">
        <v>1.8</v>
      </c>
      <c r="P72">
        <v>13.01</v>
      </c>
      <c r="Q72">
        <f t="shared" si="7"/>
        <v>13.01</v>
      </c>
      <c r="R72">
        <f t="shared" si="8"/>
        <v>0</v>
      </c>
    </row>
    <row r="73" spans="1:18" x14ac:dyDescent="0.35">
      <c r="A73">
        <v>10072</v>
      </c>
      <c r="B73" t="s">
        <v>58</v>
      </c>
      <c r="C73" s="1">
        <f t="shared" si="6"/>
        <v>44633</v>
      </c>
      <c r="D73">
        <v>1345</v>
      </c>
      <c r="E73" t="s">
        <v>19</v>
      </c>
      <c r="F73" t="str">
        <f t="shared" si="9"/>
        <v>Electronics</v>
      </c>
      <c r="G73" t="s">
        <v>21</v>
      </c>
      <c r="H73" t="str">
        <f t="shared" si="10"/>
        <v>North</v>
      </c>
      <c r="I73">
        <v>3</v>
      </c>
      <c r="J73">
        <v>286.52</v>
      </c>
      <c r="K73">
        <v>0.25</v>
      </c>
      <c r="L73" t="str">
        <f t="shared" si="11"/>
        <v>Card</v>
      </c>
      <c r="M73" t="s">
        <v>16</v>
      </c>
      <c r="N73">
        <v>4</v>
      </c>
      <c r="O73">
        <v>1.7</v>
      </c>
      <c r="P73">
        <v>644.66999999999996</v>
      </c>
      <c r="Q73">
        <f t="shared" si="7"/>
        <v>644.66999999999996</v>
      </c>
      <c r="R73">
        <f t="shared" si="8"/>
        <v>0</v>
      </c>
    </row>
    <row r="74" spans="1:18" x14ac:dyDescent="0.35">
      <c r="A74">
        <v>10073</v>
      </c>
      <c r="B74" t="s">
        <v>59</v>
      </c>
      <c r="C74" s="1">
        <f t="shared" si="6"/>
        <v>44634</v>
      </c>
      <c r="D74">
        <v>1564</v>
      </c>
      <c r="E74" t="s">
        <v>19</v>
      </c>
      <c r="F74" t="str">
        <f t="shared" si="9"/>
        <v>Electronics</v>
      </c>
      <c r="G74" t="s">
        <v>21</v>
      </c>
      <c r="H74" t="str">
        <f t="shared" si="10"/>
        <v>North</v>
      </c>
      <c r="I74">
        <v>3</v>
      </c>
      <c r="J74">
        <v>29.42</v>
      </c>
      <c r="K74">
        <v>0.01</v>
      </c>
      <c r="L74" t="str">
        <f t="shared" si="11"/>
        <v>Wallet</v>
      </c>
      <c r="M74" t="s">
        <v>14</v>
      </c>
      <c r="N74">
        <v>4</v>
      </c>
      <c r="O74">
        <v>4.2</v>
      </c>
      <c r="P74">
        <v>87.38</v>
      </c>
      <c r="Q74">
        <f t="shared" si="7"/>
        <v>87.38</v>
      </c>
      <c r="R74">
        <f t="shared" si="8"/>
        <v>0</v>
      </c>
    </row>
    <row r="75" spans="1:18" x14ac:dyDescent="0.35">
      <c r="A75">
        <v>10074</v>
      </c>
      <c r="B75" t="s">
        <v>60</v>
      </c>
      <c r="C75" s="1">
        <f t="shared" si="6"/>
        <v>44635</v>
      </c>
      <c r="D75">
        <v>1897</v>
      </c>
      <c r="E75" t="s">
        <v>29</v>
      </c>
      <c r="F75" t="str">
        <f t="shared" si="9"/>
        <v>Home</v>
      </c>
      <c r="G75" t="s">
        <v>17</v>
      </c>
      <c r="H75" t="str">
        <f t="shared" si="10"/>
        <v>East</v>
      </c>
      <c r="I75">
        <v>2</v>
      </c>
      <c r="J75">
        <v>546.59</v>
      </c>
      <c r="K75">
        <v>0.1</v>
      </c>
      <c r="L75" t="str">
        <f t="shared" si="11"/>
        <v>Card</v>
      </c>
      <c r="M75" t="s">
        <v>16</v>
      </c>
      <c r="N75">
        <v>10</v>
      </c>
      <c r="O75">
        <v>2.2999999999999998</v>
      </c>
      <c r="P75">
        <v>983.86</v>
      </c>
      <c r="Q75">
        <f t="shared" si="7"/>
        <v>983.86</v>
      </c>
      <c r="R75">
        <f t="shared" si="8"/>
        <v>0</v>
      </c>
    </row>
    <row r="76" spans="1:18" x14ac:dyDescent="0.35">
      <c r="A76">
        <v>10075</v>
      </c>
      <c r="B76" t="s">
        <v>61</v>
      </c>
      <c r="C76" s="1">
        <f t="shared" si="6"/>
        <v>44636</v>
      </c>
      <c r="D76">
        <v>1339</v>
      </c>
      <c r="E76" t="s">
        <v>15</v>
      </c>
      <c r="F76" t="str">
        <f t="shared" si="9"/>
        <v>Clothing</v>
      </c>
      <c r="G76" t="s">
        <v>20</v>
      </c>
      <c r="H76" t="str">
        <f t="shared" si="10"/>
        <v>West</v>
      </c>
      <c r="I76">
        <v>1</v>
      </c>
      <c r="J76">
        <v>318.27</v>
      </c>
      <c r="K76">
        <v>0.3</v>
      </c>
      <c r="L76" t="str">
        <f t="shared" si="11"/>
        <v>Cod</v>
      </c>
      <c r="M76" t="s">
        <v>18</v>
      </c>
      <c r="N76">
        <v>11</v>
      </c>
      <c r="O76">
        <v>3</v>
      </c>
      <c r="P76">
        <v>222.79</v>
      </c>
      <c r="Q76">
        <f t="shared" si="7"/>
        <v>222.79</v>
      </c>
      <c r="R76">
        <f t="shared" si="8"/>
        <v>0</v>
      </c>
    </row>
    <row r="77" spans="1:18" x14ac:dyDescent="0.35">
      <c r="A77">
        <v>10076</v>
      </c>
      <c r="B77" t="s">
        <v>62</v>
      </c>
      <c r="C77" s="1">
        <f t="shared" si="6"/>
        <v>44637</v>
      </c>
      <c r="D77">
        <v>1091</v>
      </c>
      <c r="E77" t="s">
        <v>19</v>
      </c>
      <c r="F77" t="str">
        <f t="shared" si="9"/>
        <v>Electronics</v>
      </c>
      <c r="G77" t="s">
        <v>17</v>
      </c>
      <c r="H77" t="str">
        <f t="shared" si="10"/>
        <v>East</v>
      </c>
      <c r="I77">
        <v>6</v>
      </c>
      <c r="J77">
        <v>58.84</v>
      </c>
      <c r="K77">
        <v>0.01</v>
      </c>
      <c r="L77" t="str">
        <f t="shared" si="11"/>
        <v>Card</v>
      </c>
      <c r="M77" t="s">
        <v>16</v>
      </c>
      <c r="N77">
        <v>6</v>
      </c>
      <c r="O77">
        <v>4</v>
      </c>
      <c r="P77">
        <v>349.51</v>
      </c>
      <c r="Q77">
        <f t="shared" si="7"/>
        <v>349.51</v>
      </c>
      <c r="R77">
        <f t="shared" si="8"/>
        <v>0</v>
      </c>
    </row>
    <row r="78" spans="1:18" x14ac:dyDescent="0.35">
      <c r="A78">
        <v>10077</v>
      </c>
      <c r="B78" t="s">
        <v>63</v>
      </c>
      <c r="C78" s="1">
        <f t="shared" si="6"/>
        <v>44638</v>
      </c>
      <c r="D78">
        <v>1366</v>
      </c>
      <c r="E78" t="s">
        <v>15</v>
      </c>
      <c r="F78" t="str">
        <f t="shared" si="9"/>
        <v>Clothing</v>
      </c>
      <c r="G78" t="s">
        <v>20</v>
      </c>
      <c r="H78" t="str">
        <f t="shared" si="10"/>
        <v>West</v>
      </c>
      <c r="I78">
        <v>1</v>
      </c>
      <c r="J78">
        <v>79.510000000000005</v>
      </c>
      <c r="K78">
        <v>0.19</v>
      </c>
      <c r="L78" t="str">
        <f t="shared" si="11"/>
        <v>Card</v>
      </c>
      <c r="M78" t="s">
        <v>16</v>
      </c>
      <c r="N78">
        <v>10</v>
      </c>
      <c r="O78">
        <v>2.6</v>
      </c>
      <c r="P78">
        <v>64.400000000000006</v>
      </c>
      <c r="Q78">
        <f t="shared" si="7"/>
        <v>64.400000000000006</v>
      </c>
      <c r="R78">
        <f t="shared" si="8"/>
        <v>0</v>
      </c>
    </row>
    <row r="79" spans="1:18" x14ac:dyDescent="0.35">
      <c r="A79">
        <v>10078</v>
      </c>
      <c r="B79" t="s">
        <v>64</v>
      </c>
      <c r="C79" s="1">
        <f t="shared" si="6"/>
        <v>44639</v>
      </c>
      <c r="D79">
        <v>1955</v>
      </c>
      <c r="E79" t="s">
        <v>12</v>
      </c>
      <c r="F79" t="str">
        <f t="shared" si="9"/>
        <v>Beauty</v>
      </c>
      <c r="G79" t="s">
        <v>17</v>
      </c>
      <c r="H79" t="str">
        <f t="shared" si="10"/>
        <v>East</v>
      </c>
      <c r="I79">
        <v>5</v>
      </c>
      <c r="J79">
        <v>239.35</v>
      </c>
      <c r="K79">
        <v>0.25</v>
      </c>
      <c r="L79" t="str">
        <f t="shared" si="11"/>
        <v>Card</v>
      </c>
      <c r="M79" t="s">
        <v>16</v>
      </c>
      <c r="N79">
        <v>3</v>
      </c>
      <c r="O79">
        <v>1.5</v>
      </c>
      <c r="P79">
        <v>897.56</v>
      </c>
      <c r="Q79">
        <f t="shared" si="7"/>
        <v>897.56</v>
      </c>
      <c r="R79">
        <f t="shared" si="8"/>
        <v>0</v>
      </c>
    </row>
    <row r="80" spans="1:18" x14ac:dyDescent="0.35">
      <c r="A80">
        <v>10079</v>
      </c>
      <c r="B80" t="s">
        <v>65</v>
      </c>
      <c r="C80" s="1">
        <f t="shared" si="6"/>
        <v>44640</v>
      </c>
      <c r="D80">
        <v>1454</v>
      </c>
      <c r="E80" t="s">
        <v>15</v>
      </c>
      <c r="F80" t="str">
        <f t="shared" si="9"/>
        <v>Clothing</v>
      </c>
      <c r="G80" t="s">
        <v>13</v>
      </c>
      <c r="H80" t="str">
        <f t="shared" si="10"/>
        <v>South</v>
      </c>
      <c r="I80">
        <v>3</v>
      </c>
      <c r="J80">
        <v>565.04</v>
      </c>
      <c r="K80">
        <v>0.22</v>
      </c>
      <c r="L80" t="str">
        <f t="shared" si="11"/>
        <v>Card</v>
      </c>
      <c r="M80" t="s">
        <v>16</v>
      </c>
      <c r="N80">
        <v>10</v>
      </c>
      <c r="O80">
        <v>3.7</v>
      </c>
      <c r="P80">
        <v>1322.19</v>
      </c>
      <c r="Q80">
        <f t="shared" si="7"/>
        <v>1322.19</v>
      </c>
      <c r="R80">
        <f t="shared" si="8"/>
        <v>0</v>
      </c>
    </row>
    <row r="81" spans="1:18" x14ac:dyDescent="0.35">
      <c r="A81">
        <v>10080</v>
      </c>
      <c r="B81" t="s">
        <v>66</v>
      </c>
      <c r="C81" s="1">
        <f t="shared" si="6"/>
        <v>44641</v>
      </c>
      <c r="D81">
        <v>1427</v>
      </c>
      <c r="E81" t="s">
        <v>15</v>
      </c>
      <c r="F81" t="str">
        <f t="shared" si="9"/>
        <v>Clothing</v>
      </c>
      <c r="G81" t="s">
        <v>21</v>
      </c>
      <c r="H81" t="str">
        <f t="shared" si="10"/>
        <v>North</v>
      </c>
      <c r="I81">
        <v>6</v>
      </c>
      <c r="J81">
        <v>420.35</v>
      </c>
      <c r="K81">
        <v>0.27</v>
      </c>
      <c r="L81" t="str">
        <f t="shared" si="11"/>
        <v>Wallet</v>
      </c>
      <c r="M81" t="s">
        <v>14</v>
      </c>
      <c r="N81">
        <v>6</v>
      </c>
      <c r="O81">
        <v>4.3</v>
      </c>
      <c r="P81">
        <v>1841.13</v>
      </c>
      <c r="Q81">
        <f t="shared" si="7"/>
        <v>1841.13</v>
      </c>
      <c r="R81">
        <f t="shared" si="8"/>
        <v>0</v>
      </c>
    </row>
    <row r="82" spans="1:18" x14ac:dyDescent="0.35">
      <c r="A82">
        <v>10081</v>
      </c>
      <c r="B82" t="s">
        <v>67</v>
      </c>
      <c r="C82" s="1">
        <f t="shared" si="6"/>
        <v>44642</v>
      </c>
      <c r="D82">
        <v>1508</v>
      </c>
      <c r="E82" t="s">
        <v>15</v>
      </c>
      <c r="F82" t="str">
        <f t="shared" si="9"/>
        <v>Clothing</v>
      </c>
      <c r="G82" t="s">
        <v>17</v>
      </c>
      <c r="H82" t="str">
        <f t="shared" si="10"/>
        <v>East</v>
      </c>
      <c r="I82">
        <v>7</v>
      </c>
      <c r="J82">
        <v>522.55999999999995</v>
      </c>
      <c r="K82">
        <v>0.25</v>
      </c>
      <c r="L82" t="str">
        <f t="shared" si="11"/>
        <v>Wallet</v>
      </c>
      <c r="M82" t="s">
        <v>14</v>
      </c>
      <c r="N82">
        <v>7</v>
      </c>
      <c r="O82">
        <v>1.1000000000000001</v>
      </c>
      <c r="P82">
        <v>2743.44</v>
      </c>
      <c r="Q82">
        <f t="shared" si="7"/>
        <v>2743.44</v>
      </c>
      <c r="R82">
        <f t="shared" si="8"/>
        <v>0</v>
      </c>
    </row>
    <row r="83" spans="1:18" x14ac:dyDescent="0.35">
      <c r="A83">
        <v>10082</v>
      </c>
      <c r="B83" t="s">
        <v>68</v>
      </c>
      <c r="C83" s="1">
        <f t="shared" si="6"/>
        <v>44643</v>
      </c>
      <c r="D83">
        <v>1775</v>
      </c>
      <c r="E83" t="s">
        <v>19</v>
      </c>
      <c r="F83" t="str">
        <f t="shared" si="9"/>
        <v>Electronics</v>
      </c>
      <c r="G83" t="s">
        <v>13</v>
      </c>
      <c r="H83" t="str">
        <f t="shared" si="10"/>
        <v>South</v>
      </c>
      <c r="I83">
        <v>7</v>
      </c>
      <c r="J83">
        <v>229.38</v>
      </c>
      <c r="K83">
        <v>0.24</v>
      </c>
      <c r="L83" t="str">
        <f t="shared" si="11"/>
        <v>Cod</v>
      </c>
      <c r="M83" t="s">
        <v>18</v>
      </c>
      <c r="N83">
        <v>11</v>
      </c>
      <c r="O83">
        <v>3.3</v>
      </c>
      <c r="P83">
        <v>1220.3</v>
      </c>
      <c r="Q83">
        <f t="shared" si="7"/>
        <v>1220.3</v>
      </c>
      <c r="R83">
        <f t="shared" si="8"/>
        <v>0</v>
      </c>
    </row>
    <row r="84" spans="1:18" x14ac:dyDescent="0.35">
      <c r="A84">
        <v>10083</v>
      </c>
      <c r="B84" t="s">
        <v>69</v>
      </c>
      <c r="C84" s="1">
        <f t="shared" si="6"/>
        <v>44644</v>
      </c>
      <c r="D84">
        <v>1942</v>
      </c>
      <c r="E84" t="s">
        <v>15</v>
      </c>
      <c r="F84" t="str">
        <f t="shared" si="9"/>
        <v>Clothing</v>
      </c>
      <c r="G84" t="s">
        <v>17</v>
      </c>
      <c r="H84" t="str">
        <f t="shared" si="10"/>
        <v>East</v>
      </c>
      <c r="I84">
        <v>3</v>
      </c>
      <c r="J84">
        <v>40.28</v>
      </c>
      <c r="K84">
        <v>0.28999999999999998</v>
      </c>
      <c r="L84" t="str">
        <f t="shared" si="11"/>
        <v>Card</v>
      </c>
      <c r="M84" t="s">
        <v>16</v>
      </c>
      <c r="N84">
        <v>1</v>
      </c>
      <c r="O84">
        <v>2.9</v>
      </c>
      <c r="P84">
        <v>85.8</v>
      </c>
      <c r="Q84">
        <f t="shared" si="7"/>
        <v>85.8</v>
      </c>
      <c r="R84">
        <f t="shared" si="8"/>
        <v>0</v>
      </c>
    </row>
    <row r="85" spans="1:18" x14ac:dyDescent="0.35">
      <c r="A85">
        <v>10084</v>
      </c>
      <c r="B85" t="s">
        <v>70</v>
      </c>
      <c r="C85" s="1">
        <f t="shared" si="6"/>
        <v>44645</v>
      </c>
      <c r="D85">
        <v>1034</v>
      </c>
      <c r="E85" t="s">
        <v>15</v>
      </c>
      <c r="F85" t="str">
        <f t="shared" si="9"/>
        <v>Clothing</v>
      </c>
      <c r="G85" t="s">
        <v>21</v>
      </c>
      <c r="H85" t="str">
        <f t="shared" si="10"/>
        <v>North</v>
      </c>
      <c r="I85">
        <v>1</v>
      </c>
      <c r="J85">
        <v>584.98</v>
      </c>
      <c r="K85">
        <v>0.23</v>
      </c>
      <c r="L85" t="str">
        <f t="shared" si="11"/>
        <v>Cod</v>
      </c>
      <c r="M85" t="s">
        <v>18</v>
      </c>
      <c r="N85">
        <v>6</v>
      </c>
      <c r="O85">
        <v>2</v>
      </c>
      <c r="P85">
        <v>450.43</v>
      </c>
      <c r="Q85">
        <f t="shared" si="7"/>
        <v>450.43</v>
      </c>
      <c r="R85">
        <f t="shared" si="8"/>
        <v>0</v>
      </c>
    </row>
    <row r="86" spans="1:18" x14ac:dyDescent="0.35">
      <c r="A86">
        <v>10085</v>
      </c>
      <c r="B86" t="s">
        <v>71</v>
      </c>
      <c r="C86" s="1">
        <f t="shared" si="6"/>
        <v>44646</v>
      </c>
      <c r="D86">
        <v>1205</v>
      </c>
      <c r="E86" t="s">
        <v>19</v>
      </c>
      <c r="F86" t="str">
        <f t="shared" si="9"/>
        <v>Electronics</v>
      </c>
      <c r="G86" t="s">
        <v>17</v>
      </c>
      <c r="H86" t="str">
        <f t="shared" si="10"/>
        <v>East</v>
      </c>
      <c r="I86">
        <v>6</v>
      </c>
      <c r="J86">
        <v>25.05</v>
      </c>
      <c r="K86">
        <v>0.14000000000000001</v>
      </c>
      <c r="L86" t="str">
        <f t="shared" si="11"/>
        <v>Card</v>
      </c>
      <c r="M86" t="s">
        <v>16</v>
      </c>
      <c r="N86">
        <v>10</v>
      </c>
      <c r="O86">
        <v>1.6</v>
      </c>
      <c r="P86">
        <v>129.26</v>
      </c>
      <c r="Q86">
        <f t="shared" si="7"/>
        <v>129.26</v>
      </c>
      <c r="R86">
        <f t="shared" si="8"/>
        <v>0</v>
      </c>
    </row>
    <row r="87" spans="1:18" x14ac:dyDescent="0.35">
      <c r="A87">
        <v>10086</v>
      </c>
      <c r="B87" t="s">
        <v>72</v>
      </c>
      <c r="C87" s="1">
        <f t="shared" si="6"/>
        <v>44647</v>
      </c>
      <c r="D87">
        <v>1080</v>
      </c>
      <c r="E87" t="s">
        <v>29</v>
      </c>
      <c r="F87" t="str">
        <f t="shared" si="9"/>
        <v>Home</v>
      </c>
      <c r="G87" t="s">
        <v>20</v>
      </c>
      <c r="H87" t="str">
        <f t="shared" si="10"/>
        <v>West</v>
      </c>
      <c r="I87">
        <v>2</v>
      </c>
      <c r="J87">
        <v>569.38</v>
      </c>
      <c r="K87">
        <v>0.17</v>
      </c>
      <c r="L87" t="str">
        <f t="shared" si="11"/>
        <v>Card</v>
      </c>
      <c r="M87" t="s">
        <v>16</v>
      </c>
      <c r="N87">
        <v>1</v>
      </c>
      <c r="O87">
        <v>1.8</v>
      </c>
      <c r="P87">
        <v>945.17</v>
      </c>
      <c r="Q87">
        <f t="shared" si="7"/>
        <v>945.17</v>
      </c>
      <c r="R87">
        <f t="shared" si="8"/>
        <v>0</v>
      </c>
    </row>
    <row r="88" spans="1:18" x14ac:dyDescent="0.35">
      <c r="A88">
        <v>10087</v>
      </c>
      <c r="B88" t="s">
        <v>73</v>
      </c>
      <c r="C88" s="1">
        <f t="shared" si="6"/>
        <v>44648</v>
      </c>
      <c r="D88">
        <v>1931</v>
      </c>
      <c r="E88" t="s">
        <v>15</v>
      </c>
      <c r="F88" t="str">
        <f t="shared" si="9"/>
        <v>Clothing</v>
      </c>
      <c r="G88" t="s">
        <v>21</v>
      </c>
      <c r="H88" t="str">
        <f t="shared" si="10"/>
        <v>North</v>
      </c>
      <c r="I88">
        <v>7</v>
      </c>
      <c r="J88">
        <v>230.68</v>
      </c>
      <c r="K88">
        <v>0.25</v>
      </c>
      <c r="L88" t="str">
        <f t="shared" si="11"/>
        <v>Cod</v>
      </c>
      <c r="M88" t="s">
        <v>18</v>
      </c>
      <c r="N88">
        <v>7</v>
      </c>
      <c r="O88">
        <v>3.9</v>
      </c>
      <c r="P88">
        <v>1211.07</v>
      </c>
      <c r="Q88">
        <f t="shared" si="7"/>
        <v>1211.07</v>
      </c>
      <c r="R88">
        <f t="shared" si="8"/>
        <v>0</v>
      </c>
    </row>
    <row r="89" spans="1:18" x14ac:dyDescent="0.35">
      <c r="A89">
        <v>10088</v>
      </c>
      <c r="B89" t="s">
        <v>74</v>
      </c>
      <c r="C89" s="1">
        <f t="shared" si="6"/>
        <v>44649</v>
      </c>
      <c r="D89">
        <v>1561</v>
      </c>
      <c r="E89" t="s">
        <v>29</v>
      </c>
      <c r="F89" t="str">
        <f t="shared" si="9"/>
        <v>Home</v>
      </c>
      <c r="G89" t="s">
        <v>20</v>
      </c>
      <c r="H89" t="str">
        <f t="shared" si="10"/>
        <v>West</v>
      </c>
      <c r="I89">
        <v>1</v>
      </c>
      <c r="J89">
        <v>20.9</v>
      </c>
      <c r="K89">
        <v>0.31</v>
      </c>
      <c r="L89" t="str">
        <f t="shared" si="11"/>
        <v>Cod</v>
      </c>
      <c r="M89" t="s">
        <v>18</v>
      </c>
      <c r="N89">
        <v>10</v>
      </c>
      <c r="O89">
        <v>3.1</v>
      </c>
      <c r="P89">
        <v>14.42</v>
      </c>
      <c r="Q89">
        <f t="shared" si="7"/>
        <v>14.42</v>
      </c>
      <c r="R89">
        <f t="shared" si="8"/>
        <v>0</v>
      </c>
    </row>
    <row r="90" spans="1:18" x14ac:dyDescent="0.35">
      <c r="A90">
        <v>10089</v>
      </c>
      <c r="B90" t="s">
        <v>75</v>
      </c>
      <c r="C90" s="1">
        <f t="shared" si="6"/>
        <v>44650</v>
      </c>
      <c r="D90">
        <v>1871</v>
      </c>
      <c r="E90" t="s">
        <v>12</v>
      </c>
      <c r="F90" t="str">
        <f t="shared" si="9"/>
        <v>Beauty</v>
      </c>
      <c r="G90" t="s">
        <v>13</v>
      </c>
      <c r="H90" t="str">
        <f t="shared" si="10"/>
        <v>South</v>
      </c>
      <c r="I90">
        <v>2</v>
      </c>
      <c r="J90">
        <v>418.16</v>
      </c>
      <c r="K90">
        <v>0.1</v>
      </c>
      <c r="L90" t="str">
        <f t="shared" si="11"/>
        <v>Card</v>
      </c>
      <c r="M90" t="s">
        <v>16</v>
      </c>
      <c r="N90">
        <v>5</v>
      </c>
      <c r="O90">
        <v>4.9000000000000004</v>
      </c>
      <c r="P90">
        <v>752.69</v>
      </c>
      <c r="Q90">
        <f t="shared" si="7"/>
        <v>752.69</v>
      </c>
      <c r="R90">
        <f t="shared" si="8"/>
        <v>0</v>
      </c>
    </row>
    <row r="91" spans="1:18" x14ac:dyDescent="0.35">
      <c r="A91">
        <v>10090</v>
      </c>
      <c r="B91" t="s">
        <v>76</v>
      </c>
      <c r="C91" s="1">
        <f t="shared" si="6"/>
        <v>44651</v>
      </c>
      <c r="D91">
        <v>1387</v>
      </c>
      <c r="E91" t="s">
        <v>19</v>
      </c>
      <c r="F91" t="str">
        <f t="shared" si="9"/>
        <v>Electronics</v>
      </c>
      <c r="G91" t="s">
        <v>13</v>
      </c>
      <c r="H91" t="str">
        <f t="shared" si="10"/>
        <v>South</v>
      </c>
      <c r="I91">
        <v>6</v>
      </c>
      <c r="J91">
        <v>588.62</v>
      </c>
      <c r="K91">
        <v>0.12</v>
      </c>
      <c r="L91" t="str">
        <f t="shared" si="11"/>
        <v>Card</v>
      </c>
      <c r="M91" t="s">
        <v>16</v>
      </c>
      <c r="N91">
        <v>10</v>
      </c>
      <c r="O91">
        <v>2</v>
      </c>
      <c r="P91">
        <v>3107.91</v>
      </c>
      <c r="Q91">
        <f t="shared" si="7"/>
        <v>3107.91</v>
      </c>
      <c r="R91">
        <f t="shared" si="8"/>
        <v>0</v>
      </c>
    </row>
    <row r="92" spans="1:18" x14ac:dyDescent="0.35">
      <c r="A92">
        <v>10091</v>
      </c>
      <c r="B92" s="1">
        <v>44565</v>
      </c>
      <c r="C92" s="1">
        <f t="shared" si="6"/>
        <v>44652</v>
      </c>
      <c r="D92">
        <v>1001</v>
      </c>
      <c r="E92" t="s">
        <v>29</v>
      </c>
      <c r="F92" t="str">
        <f t="shared" si="9"/>
        <v>Home</v>
      </c>
      <c r="G92" t="s">
        <v>17</v>
      </c>
      <c r="H92" t="str">
        <f t="shared" si="10"/>
        <v>East</v>
      </c>
      <c r="I92">
        <v>3</v>
      </c>
      <c r="J92">
        <v>579.89</v>
      </c>
      <c r="K92">
        <v>0.33</v>
      </c>
      <c r="L92" t="str">
        <f t="shared" si="11"/>
        <v>Wallet</v>
      </c>
      <c r="M92" t="s">
        <v>14</v>
      </c>
      <c r="N92">
        <v>4</v>
      </c>
      <c r="O92">
        <v>4.8</v>
      </c>
      <c r="P92">
        <v>1165.58</v>
      </c>
      <c r="Q92">
        <f t="shared" si="7"/>
        <v>1165.58</v>
      </c>
      <c r="R92">
        <f t="shared" si="8"/>
        <v>0</v>
      </c>
    </row>
    <row r="93" spans="1:18" x14ac:dyDescent="0.35">
      <c r="A93">
        <v>10092</v>
      </c>
      <c r="B93" s="1">
        <v>44596</v>
      </c>
      <c r="C93" s="1">
        <f t="shared" si="6"/>
        <v>44653</v>
      </c>
      <c r="D93">
        <v>1389</v>
      </c>
      <c r="E93" t="s">
        <v>15</v>
      </c>
      <c r="F93" t="str">
        <f t="shared" si="9"/>
        <v>Clothing</v>
      </c>
      <c r="G93" t="s">
        <v>20</v>
      </c>
      <c r="H93" t="str">
        <f t="shared" si="10"/>
        <v>West</v>
      </c>
      <c r="I93">
        <v>5</v>
      </c>
      <c r="J93">
        <v>109.15</v>
      </c>
      <c r="K93">
        <v>0.2</v>
      </c>
      <c r="L93" t="str">
        <f t="shared" si="11"/>
        <v>Card</v>
      </c>
      <c r="M93" t="s">
        <v>16</v>
      </c>
      <c r="N93">
        <v>1</v>
      </c>
      <c r="O93">
        <v>3.1</v>
      </c>
      <c r="P93">
        <v>436.6</v>
      </c>
      <c r="Q93">
        <f t="shared" si="7"/>
        <v>436.6</v>
      </c>
      <c r="R93">
        <f t="shared" si="8"/>
        <v>0</v>
      </c>
    </row>
    <row r="94" spans="1:18" x14ac:dyDescent="0.35">
      <c r="A94">
        <v>10093</v>
      </c>
      <c r="B94" s="1">
        <v>44624</v>
      </c>
      <c r="C94" s="1">
        <f t="shared" si="6"/>
        <v>44654</v>
      </c>
      <c r="D94">
        <v>1565</v>
      </c>
      <c r="E94" t="s">
        <v>12</v>
      </c>
      <c r="F94" t="str">
        <f t="shared" si="9"/>
        <v>Beauty</v>
      </c>
      <c r="G94" t="s">
        <v>20</v>
      </c>
      <c r="H94" t="str">
        <f t="shared" si="10"/>
        <v>West</v>
      </c>
      <c r="I94">
        <v>4</v>
      </c>
      <c r="J94">
        <v>121.03</v>
      </c>
      <c r="K94">
        <v>0.06</v>
      </c>
      <c r="L94" t="str">
        <f t="shared" si="11"/>
        <v>Wallet</v>
      </c>
      <c r="M94" t="s">
        <v>14</v>
      </c>
      <c r="N94">
        <v>9</v>
      </c>
      <c r="O94">
        <v>1.6</v>
      </c>
      <c r="P94">
        <v>455.07</v>
      </c>
      <c r="Q94">
        <f>ROUND(I94*J94*(1-K94),2)</f>
        <v>455.07</v>
      </c>
      <c r="R94">
        <f t="shared" si="8"/>
        <v>0</v>
      </c>
    </row>
    <row r="95" spans="1:18" x14ac:dyDescent="0.35">
      <c r="A95">
        <v>10094</v>
      </c>
      <c r="B95" s="1">
        <v>44655</v>
      </c>
      <c r="C95" s="1">
        <f t="shared" si="6"/>
        <v>44655</v>
      </c>
      <c r="D95">
        <v>1105</v>
      </c>
      <c r="E95" t="s">
        <v>19</v>
      </c>
      <c r="F95" t="str">
        <f t="shared" si="9"/>
        <v>Electronics</v>
      </c>
      <c r="G95" t="s">
        <v>21</v>
      </c>
      <c r="H95" t="str">
        <f t="shared" si="10"/>
        <v>North</v>
      </c>
      <c r="I95">
        <v>3</v>
      </c>
      <c r="J95">
        <v>345.84</v>
      </c>
      <c r="K95">
        <v>0.23</v>
      </c>
      <c r="L95" t="str">
        <f t="shared" si="11"/>
        <v>Wallet</v>
      </c>
      <c r="M95" t="s">
        <v>14</v>
      </c>
      <c r="N95">
        <v>7</v>
      </c>
      <c r="O95">
        <v>1.6</v>
      </c>
      <c r="P95">
        <v>798.89</v>
      </c>
      <c r="Q95">
        <f t="shared" si="7"/>
        <v>798.89</v>
      </c>
      <c r="R95">
        <f t="shared" si="8"/>
        <v>0</v>
      </c>
    </row>
    <row r="96" spans="1:18" x14ac:dyDescent="0.35">
      <c r="A96">
        <v>10095</v>
      </c>
      <c r="B96" s="1">
        <v>44685</v>
      </c>
      <c r="C96" s="1">
        <f t="shared" si="6"/>
        <v>44656</v>
      </c>
      <c r="D96">
        <v>1771</v>
      </c>
      <c r="E96" t="s">
        <v>29</v>
      </c>
      <c r="F96" t="str">
        <f t="shared" si="9"/>
        <v>Home</v>
      </c>
      <c r="G96" t="s">
        <v>20</v>
      </c>
      <c r="H96" t="str">
        <f t="shared" si="10"/>
        <v>West</v>
      </c>
      <c r="I96">
        <v>2</v>
      </c>
      <c r="J96">
        <v>387.82</v>
      </c>
      <c r="K96">
        <v>0.35</v>
      </c>
      <c r="L96" t="str">
        <f t="shared" si="11"/>
        <v>Cod</v>
      </c>
      <c r="M96" t="s">
        <v>18</v>
      </c>
      <c r="N96">
        <v>2</v>
      </c>
      <c r="O96">
        <v>3.4</v>
      </c>
      <c r="P96">
        <v>504.17</v>
      </c>
      <c r="Q96">
        <f t="shared" si="7"/>
        <v>504.17</v>
      </c>
      <c r="R96">
        <f t="shared" si="8"/>
        <v>0</v>
      </c>
    </row>
    <row r="97" spans="1:18" x14ac:dyDescent="0.35">
      <c r="A97">
        <v>10096</v>
      </c>
      <c r="B97" s="1">
        <v>44716</v>
      </c>
      <c r="C97" s="1">
        <f t="shared" si="6"/>
        <v>44657</v>
      </c>
      <c r="D97">
        <v>1821</v>
      </c>
      <c r="E97" t="s">
        <v>15</v>
      </c>
      <c r="F97" t="str">
        <f t="shared" si="9"/>
        <v>Clothing</v>
      </c>
      <c r="G97" t="s">
        <v>20</v>
      </c>
      <c r="H97" t="str">
        <f t="shared" si="10"/>
        <v>West</v>
      </c>
      <c r="I97">
        <v>1</v>
      </c>
      <c r="J97">
        <v>447.56</v>
      </c>
      <c r="K97">
        <v>0.28999999999999998</v>
      </c>
      <c r="L97" t="str">
        <f t="shared" si="11"/>
        <v>Card</v>
      </c>
      <c r="M97" t="s">
        <v>16</v>
      </c>
      <c r="N97">
        <v>4</v>
      </c>
      <c r="O97">
        <v>4.3</v>
      </c>
      <c r="P97">
        <v>317.77</v>
      </c>
      <c r="Q97">
        <f t="shared" si="7"/>
        <v>317.77</v>
      </c>
      <c r="R97">
        <f t="shared" si="8"/>
        <v>0</v>
      </c>
    </row>
    <row r="98" spans="1:18" x14ac:dyDescent="0.35">
      <c r="A98">
        <v>10097</v>
      </c>
      <c r="B98" s="1">
        <v>44746</v>
      </c>
      <c r="C98" s="1">
        <f t="shared" si="6"/>
        <v>44658</v>
      </c>
      <c r="D98">
        <v>1476</v>
      </c>
      <c r="E98" t="s">
        <v>19</v>
      </c>
      <c r="F98" t="str">
        <f t="shared" si="9"/>
        <v>Electronics</v>
      </c>
      <c r="G98" t="s">
        <v>21</v>
      </c>
      <c r="H98" t="str">
        <f t="shared" si="10"/>
        <v>North</v>
      </c>
      <c r="I98">
        <v>7</v>
      </c>
      <c r="J98">
        <v>120.91</v>
      </c>
      <c r="K98">
        <v>0.26</v>
      </c>
      <c r="L98" t="str">
        <f t="shared" si="11"/>
        <v>Cod</v>
      </c>
      <c r="M98" t="s">
        <v>18</v>
      </c>
      <c r="N98">
        <v>4</v>
      </c>
      <c r="O98">
        <v>4</v>
      </c>
      <c r="P98">
        <v>626.30999999999995</v>
      </c>
      <c r="Q98">
        <f t="shared" si="7"/>
        <v>626.30999999999995</v>
      </c>
      <c r="R98">
        <f t="shared" si="8"/>
        <v>0</v>
      </c>
    </row>
    <row r="99" spans="1:18" x14ac:dyDescent="0.35">
      <c r="A99">
        <v>10098</v>
      </c>
      <c r="B99" s="1">
        <v>44777</v>
      </c>
      <c r="C99" s="1">
        <f t="shared" si="6"/>
        <v>44659</v>
      </c>
      <c r="D99">
        <v>1702</v>
      </c>
      <c r="E99" t="s">
        <v>19</v>
      </c>
      <c r="F99" t="str">
        <f t="shared" si="9"/>
        <v>Electronics</v>
      </c>
      <c r="G99" t="s">
        <v>21</v>
      </c>
      <c r="H99" t="str">
        <f t="shared" si="10"/>
        <v>North</v>
      </c>
      <c r="I99">
        <v>6</v>
      </c>
      <c r="J99">
        <v>576.02</v>
      </c>
      <c r="K99">
        <v>7.0000000000000007E-2</v>
      </c>
      <c r="L99" t="str">
        <f t="shared" si="11"/>
        <v>Card</v>
      </c>
      <c r="M99" t="s">
        <v>16</v>
      </c>
      <c r="N99">
        <v>8</v>
      </c>
      <c r="O99">
        <v>3.6</v>
      </c>
      <c r="P99">
        <v>3214.19</v>
      </c>
      <c r="Q99">
        <f t="shared" si="7"/>
        <v>3214.19</v>
      </c>
      <c r="R99">
        <f t="shared" si="8"/>
        <v>0</v>
      </c>
    </row>
    <row r="100" spans="1:18" x14ac:dyDescent="0.35">
      <c r="A100">
        <v>10099</v>
      </c>
      <c r="B100" s="1">
        <v>44808</v>
      </c>
      <c r="C100" s="1">
        <f t="shared" si="6"/>
        <v>44660</v>
      </c>
      <c r="D100">
        <v>1401</v>
      </c>
      <c r="E100" t="s">
        <v>29</v>
      </c>
      <c r="F100" t="str">
        <f t="shared" si="9"/>
        <v>Home</v>
      </c>
      <c r="G100" t="s">
        <v>20</v>
      </c>
      <c r="H100" t="str">
        <f t="shared" si="10"/>
        <v>West</v>
      </c>
      <c r="I100">
        <v>3</v>
      </c>
      <c r="J100">
        <v>388.66</v>
      </c>
      <c r="K100">
        <v>0.31</v>
      </c>
      <c r="L100" t="str">
        <f t="shared" si="11"/>
        <v>Card</v>
      </c>
      <c r="M100" t="s">
        <v>16</v>
      </c>
      <c r="N100">
        <v>2</v>
      </c>
      <c r="O100">
        <v>1.7</v>
      </c>
      <c r="P100">
        <v>804.53</v>
      </c>
      <c r="Q100">
        <f t="shared" si="7"/>
        <v>804.53</v>
      </c>
      <c r="R100">
        <f t="shared" si="8"/>
        <v>0</v>
      </c>
    </row>
    <row r="101" spans="1:18" x14ac:dyDescent="0.35">
      <c r="A101">
        <v>10100</v>
      </c>
      <c r="B101" s="1">
        <v>44838</v>
      </c>
      <c r="C101" s="1">
        <f t="shared" si="6"/>
        <v>44661</v>
      </c>
      <c r="D101">
        <v>1729</v>
      </c>
      <c r="E101" t="s">
        <v>29</v>
      </c>
      <c r="F101" t="str">
        <f t="shared" si="9"/>
        <v>Home</v>
      </c>
      <c r="G101" t="s">
        <v>17</v>
      </c>
      <c r="H101" t="str">
        <f t="shared" si="10"/>
        <v>East</v>
      </c>
      <c r="I101">
        <v>7</v>
      </c>
      <c r="J101">
        <v>510.52</v>
      </c>
      <c r="K101">
        <v>0.18</v>
      </c>
      <c r="L101" t="str">
        <f t="shared" si="11"/>
        <v>Cod</v>
      </c>
      <c r="M101" t="s">
        <v>18</v>
      </c>
      <c r="N101">
        <v>11</v>
      </c>
      <c r="O101">
        <v>1.4</v>
      </c>
      <c r="P101">
        <v>2930.38</v>
      </c>
      <c r="Q101">
        <f t="shared" si="7"/>
        <v>2930.38</v>
      </c>
      <c r="R101">
        <f t="shared" si="8"/>
        <v>0</v>
      </c>
    </row>
    <row r="102" spans="1:18" x14ac:dyDescent="0.35">
      <c r="A102">
        <v>10101</v>
      </c>
      <c r="B102" s="1">
        <v>44869</v>
      </c>
      <c r="C102" s="1">
        <f t="shared" si="6"/>
        <v>44662</v>
      </c>
      <c r="D102">
        <v>1555</v>
      </c>
      <c r="E102" t="s">
        <v>19</v>
      </c>
      <c r="F102" t="str">
        <f t="shared" si="9"/>
        <v>Electronics</v>
      </c>
      <c r="G102" t="s">
        <v>21</v>
      </c>
      <c r="H102" t="str">
        <f t="shared" si="10"/>
        <v>North</v>
      </c>
      <c r="I102">
        <v>7</v>
      </c>
      <c r="J102">
        <v>330.94</v>
      </c>
      <c r="K102">
        <v>0.31</v>
      </c>
      <c r="L102" t="str">
        <f t="shared" si="11"/>
        <v>Card</v>
      </c>
      <c r="M102" t="s">
        <v>16</v>
      </c>
      <c r="N102">
        <v>5</v>
      </c>
      <c r="O102">
        <v>1</v>
      </c>
      <c r="P102">
        <v>1598.44</v>
      </c>
      <c r="Q102">
        <f t="shared" si="7"/>
        <v>1598.44</v>
      </c>
      <c r="R102">
        <f t="shared" si="8"/>
        <v>0</v>
      </c>
    </row>
    <row r="103" spans="1:18" x14ac:dyDescent="0.35">
      <c r="A103">
        <v>10102</v>
      </c>
      <c r="B103" s="1">
        <v>44899</v>
      </c>
      <c r="C103" s="1">
        <f t="shared" si="6"/>
        <v>44663</v>
      </c>
      <c r="D103">
        <v>1161</v>
      </c>
      <c r="E103" t="s">
        <v>15</v>
      </c>
      <c r="F103" t="str">
        <f t="shared" si="9"/>
        <v>Clothing</v>
      </c>
      <c r="G103" t="s">
        <v>21</v>
      </c>
      <c r="H103" t="str">
        <f t="shared" si="10"/>
        <v>North</v>
      </c>
      <c r="I103">
        <v>5</v>
      </c>
      <c r="J103">
        <v>257.35000000000002</v>
      </c>
      <c r="K103">
        <v>0.12</v>
      </c>
      <c r="L103" t="str">
        <f t="shared" si="11"/>
        <v>Card</v>
      </c>
      <c r="M103" t="s">
        <v>16</v>
      </c>
      <c r="N103">
        <v>10</v>
      </c>
      <c r="O103">
        <v>1.4</v>
      </c>
      <c r="P103">
        <v>1132.3399999999999</v>
      </c>
      <c r="Q103">
        <f t="shared" si="7"/>
        <v>1132.3399999999999</v>
      </c>
      <c r="R103">
        <f t="shared" si="8"/>
        <v>0</v>
      </c>
    </row>
    <row r="104" spans="1:18" x14ac:dyDescent="0.35">
      <c r="A104">
        <v>10103</v>
      </c>
      <c r="B104" t="s">
        <v>77</v>
      </c>
      <c r="C104" s="1">
        <f t="shared" si="6"/>
        <v>44664</v>
      </c>
      <c r="D104">
        <v>1201</v>
      </c>
      <c r="E104" t="s">
        <v>15</v>
      </c>
      <c r="F104" t="str">
        <f t="shared" si="9"/>
        <v>Clothing</v>
      </c>
      <c r="G104" t="s">
        <v>20</v>
      </c>
      <c r="H104" t="str">
        <f t="shared" si="10"/>
        <v>West</v>
      </c>
      <c r="I104">
        <v>6</v>
      </c>
      <c r="J104">
        <v>586.65</v>
      </c>
      <c r="K104">
        <v>0.02</v>
      </c>
      <c r="L104" t="str">
        <f t="shared" si="11"/>
        <v>Cod</v>
      </c>
      <c r="M104" t="s">
        <v>18</v>
      </c>
      <c r="N104">
        <v>8</v>
      </c>
      <c r="O104">
        <v>4.0999999999999996</v>
      </c>
      <c r="P104">
        <v>3449.5</v>
      </c>
      <c r="Q104">
        <f t="shared" si="7"/>
        <v>3449.5</v>
      </c>
      <c r="R104">
        <f t="shared" si="8"/>
        <v>0</v>
      </c>
    </row>
    <row r="105" spans="1:18" x14ac:dyDescent="0.35">
      <c r="A105">
        <v>10104</v>
      </c>
      <c r="B105" t="s">
        <v>78</v>
      </c>
      <c r="C105" s="1">
        <f t="shared" si="6"/>
        <v>44665</v>
      </c>
      <c r="D105">
        <v>1957</v>
      </c>
      <c r="E105" t="s">
        <v>29</v>
      </c>
      <c r="F105" t="str">
        <f t="shared" si="9"/>
        <v>Home</v>
      </c>
      <c r="G105" t="s">
        <v>20</v>
      </c>
      <c r="H105" t="str">
        <f t="shared" si="10"/>
        <v>West</v>
      </c>
      <c r="I105">
        <v>2</v>
      </c>
      <c r="J105">
        <v>355.54</v>
      </c>
      <c r="K105">
        <v>0.17</v>
      </c>
      <c r="L105" t="str">
        <f t="shared" si="11"/>
        <v>Cod</v>
      </c>
      <c r="M105" t="s">
        <v>18</v>
      </c>
      <c r="N105">
        <v>6</v>
      </c>
      <c r="O105">
        <v>4.5999999999999996</v>
      </c>
      <c r="P105">
        <v>590.20000000000005</v>
      </c>
      <c r="Q105">
        <f t="shared" si="7"/>
        <v>590.20000000000005</v>
      </c>
      <c r="R105">
        <f t="shared" si="8"/>
        <v>0</v>
      </c>
    </row>
    <row r="106" spans="1:18" x14ac:dyDescent="0.35">
      <c r="A106">
        <v>10105</v>
      </c>
      <c r="B106" t="s">
        <v>79</v>
      </c>
      <c r="C106" s="1">
        <f t="shared" si="6"/>
        <v>44666</v>
      </c>
      <c r="D106">
        <v>1995</v>
      </c>
      <c r="E106" t="s">
        <v>19</v>
      </c>
      <c r="F106" t="str">
        <f t="shared" si="9"/>
        <v>Electronics</v>
      </c>
      <c r="G106" t="s">
        <v>21</v>
      </c>
      <c r="H106" t="str">
        <f t="shared" si="10"/>
        <v>North</v>
      </c>
      <c r="I106">
        <v>6</v>
      </c>
      <c r="J106">
        <v>522.12</v>
      </c>
      <c r="K106">
        <v>0.09</v>
      </c>
      <c r="L106" t="str">
        <f t="shared" si="11"/>
        <v>Card</v>
      </c>
      <c r="M106" t="s">
        <v>16</v>
      </c>
      <c r="N106">
        <v>4</v>
      </c>
      <c r="O106">
        <v>2</v>
      </c>
      <c r="P106">
        <v>2850.78</v>
      </c>
      <c r="Q106">
        <f t="shared" si="7"/>
        <v>2850.78</v>
      </c>
      <c r="R106">
        <f t="shared" si="8"/>
        <v>0</v>
      </c>
    </row>
    <row r="107" spans="1:18" x14ac:dyDescent="0.35">
      <c r="A107">
        <v>10106</v>
      </c>
      <c r="B107" t="s">
        <v>80</v>
      </c>
      <c r="C107" s="1">
        <f t="shared" si="6"/>
        <v>44667</v>
      </c>
      <c r="D107">
        <v>1269</v>
      </c>
      <c r="E107" t="s">
        <v>12</v>
      </c>
      <c r="F107" t="str">
        <f t="shared" si="9"/>
        <v>Beauty</v>
      </c>
      <c r="G107" t="s">
        <v>20</v>
      </c>
      <c r="H107" t="str">
        <f t="shared" si="10"/>
        <v>West</v>
      </c>
      <c r="I107">
        <v>6</v>
      </c>
      <c r="J107">
        <v>572.67999999999995</v>
      </c>
      <c r="K107">
        <v>0.25</v>
      </c>
      <c r="L107" t="str">
        <f t="shared" si="11"/>
        <v>Card</v>
      </c>
      <c r="M107" t="s">
        <v>16</v>
      </c>
      <c r="N107">
        <v>5</v>
      </c>
      <c r="O107">
        <v>4.2</v>
      </c>
      <c r="P107">
        <v>2577.06</v>
      </c>
      <c r="Q107">
        <f t="shared" si="7"/>
        <v>2577.06</v>
      </c>
      <c r="R107">
        <f t="shared" si="8"/>
        <v>0</v>
      </c>
    </row>
    <row r="108" spans="1:18" x14ac:dyDescent="0.35">
      <c r="A108">
        <v>10107</v>
      </c>
      <c r="B108" t="s">
        <v>81</v>
      </c>
      <c r="C108" s="1">
        <f t="shared" si="6"/>
        <v>44668</v>
      </c>
      <c r="D108">
        <v>1862</v>
      </c>
      <c r="E108" t="s">
        <v>19</v>
      </c>
      <c r="F108" t="str">
        <f t="shared" si="9"/>
        <v>Electronics</v>
      </c>
      <c r="G108" t="s">
        <v>21</v>
      </c>
      <c r="H108" t="str">
        <f t="shared" si="10"/>
        <v>North</v>
      </c>
      <c r="I108">
        <v>1</v>
      </c>
      <c r="J108">
        <v>410.08</v>
      </c>
      <c r="K108">
        <v>0.33</v>
      </c>
      <c r="L108" t="str">
        <f t="shared" si="11"/>
        <v>Card</v>
      </c>
      <c r="M108" t="s">
        <v>16</v>
      </c>
      <c r="N108">
        <v>2</v>
      </c>
      <c r="O108">
        <v>1.8</v>
      </c>
      <c r="P108">
        <v>274.75</v>
      </c>
      <c r="Q108">
        <f t="shared" si="7"/>
        <v>274.75</v>
      </c>
      <c r="R108">
        <f t="shared" si="8"/>
        <v>0</v>
      </c>
    </row>
    <row r="109" spans="1:18" x14ac:dyDescent="0.35">
      <c r="A109">
        <v>10108</v>
      </c>
      <c r="B109" t="s">
        <v>82</v>
      </c>
      <c r="C109" s="1">
        <f t="shared" si="6"/>
        <v>44669</v>
      </c>
      <c r="D109">
        <v>1815</v>
      </c>
      <c r="E109" t="s">
        <v>15</v>
      </c>
      <c r="F109" t="str">
        <f t="shared" si="9"/>
        <v>Clothing</v>
      </c>
      <c r="G109" t="s">
        <v>17</v>
      </c>
      <c r="H109" t="str">
        <f t="shared" si="10"/>
        <v>East</v>
      </c>
      <c r="I109">
        <v>4</v>
      </c>
      <c r="J109">
        <v>336.13</v>
      </c>
      <c r="K109">
        <v>0.24</v>
      </c>
      <c r="L109" t="str">
        <f t="shared" si="11"/>
        <v>Card</v>
      </c>
      <c r="M109" t="s">
        <v>16</v>
      </c>
      <c r="N109">
        <v>5</v>
      </c>
      <c r="O109">
        <v>2</v>
      </c>
      <c r="P109">
        <v>1021.84</v>
      </c>
      <c r="Q109">
        <f t="shared" si="7"/>
        <v>1021.84</v>
      </c>
      <c r="R109">
        <f t="shared" si="8"/>
        <v>0</v>
      </c>
    </row>
    <row r="110" spans="1:18" x14ac:dyDescent="0.35">
      <c r="A110">
        <v>10109</v>
      </c>
      <c r="B110" t="s">
        <v>83</v>
      </c>
      <c r="C110" s="1">
        <f t="shared" si="6"/>
        <v>44670</v>
      </c>
      <c r="D110">
        <v>1270</v>
      </c>
      <c r="E110" t="s">
        <v>19</v>
      </c>
      <c r="F110" t="str">
        <f t="shared" si="9"/>
        <v>Electronics</v>
      </c>
      <c r="G110" t="s">
        <v>17</v>
      </c>
      <c r="H110" t="str">
        <f t="shared" si="10"/>
        <v>East</v>
      </c>
      <c r="I110">
        <v>7</v>
      </c>
      <c r="J110">
        <v>17.05</v>
      </c>
      <c r="K110">
        <v>0.31</v>
      </c>
      <c r="L110" t="str">
        <f t="shared" si="11"/>
        <v>Cod</v>
      </c>
      <c r="M110" t="s">
        <v>18</v>
      </c>
      <c r="N110">
        <v>3</v>
      </c>
      <c r="O110">
        <v>1.9</v>
      </c>
      <c r="P110">
        <v>82.35</v>
      </c>
      <c r="Q110">
        <f t="shared" si="7"/>
        <v>82.35</v>
      </c>
      <c r="R110">
        <f t="shared" si="8"/>
        <v>0</v>
      </c>
    </row>
    <row r="111" spans="1:18" x14ac:dyDescent="0.35">
      <c r="A111">
        <v>10110</v>
      </c>
      <c r="B111" t="s">
        <v>84</v>
      </c>
      <c r="C111" s="1">
        <f t="shared" si="6"/>
        <v>44671</v>
      </c>
      <c r="D111">
        <v>1455</v>
      </c>
      <c r="E111" t="s">
        <v>19</v>
      </c>
      <c r="F111" t="str">
        <f t="shared" si="9"/>
        <v>Electronics</v>
      </c>
      <c r="G111" t="s">
        <v>21</v>
      </c>
      <c r="H111" t="str">
        <f t="shared" si="10"/>
        <v>North</v>
      </c>
      <c r="I111">
        <v>2</v>
      </c>
      <c r="J111">
        <v>38.409999999999997</v>
      </c>
      <c r="K111">
        <v>0.16</v>
      </c>
      <c r="L111" t="str">
        <f t="shared" si="11"/>
        <v>Cod</v>
      </c>
      <c r="M111" t="s">
        <v>18</v>
      </c>
      <c r="N111">
        <v>3</v>
      </c>
      <c r="O111">
        <v>1.2</v>
      </c>
      <c r="P111">
        <v>64.53</v>
      </c>
      <c r="Q111">
        <f t="shared" si="7"/>
        <v>64.53</v>
      </c>
      <c r="R111">
        <f t="shared" si="8"/>
        <v>0</v>
      </c>
    </row>
    <row r="112" spans="1:18" x14ac:dyDescent="0.35">
      <c r="A112">
        <v>10111</v>
      </c>
      <c r="B112" t="s">
        <v>85</v>
      </c>
      <c r="C112" s="1">
        <f t="shared" si="6"/>
        <v>44672</v>
      </c>
      <c r="D112">
        <v>1461</v>
      </c>
      <c r="E112" t="s">
        <v>15</v>
      </c>
      <c r="F112" t="str">
        <f t="shared" si="9"/>
        <v>Clothing</v>
      </c>
      <c r="G112" t="s">
        <v>21</v>
      </c>
      <c r="H112" t="str">
        <f t="shared" si="10"/>
        <v>North</v>
      </c>
      <c r="I112">
        <v>1</v>
      </c>
      <c r="J112">
        <v>132.5</v>
      </c>
      <c r="K112">
        <v>0.27</v>
      </c>
      <c r="L112" t="str">
        <f t="shared" si="11"/>
        <v>Cod</v>
      </c>
      <c r="M112" t="s">
        <v>18</v>
      </c>
      <c r="N112">
        <v>7</v>
      </c>
      <c r="O112">
        <v>1.8</v>
      </c>
      <c r="P112">
        <v>96.72</v>
      </c>
      <c r="Q112">
        <f t="shared" si="7"/>
        <v>96.73</v>
      </c>
      <c r="R112">
        <f t="shared" si="8"/>
        <v>-0.01</v>
      </c>
    </row>
    <row r="113" spans="1:18" x14ac:dyDescent="0.35">
      <c r="A113">
        <v>10112</v>
      </c>
      <c r="B113" t="s">
        <v>86</v>
      </c>
      <c r="C113" s="1">
        <f t="shared" si="6"/>
        <v>44673</v>
      </c>
      <c r="D113">
        <v>1726</v>
      </c>
      <c r="E113" t="s">
        <v>19</v>
      </c>
      <c r="F113" t="str">
        <f t="shared" si="9"/>
        <v>Electronics</v>
      </c>
      <c r="G113" t="s">
        <v>13</v>
      </c>
      <c r="H113" t="str">
        <f t="shared" si="10"/>
        <v>South</v>
      </c>
      <c r="I113">
        <v>7</v>
      </c>
      <c r="J113">
        <v>123.81</v>
      </c>
      <c r="K113">
        <v>0.3</v>
      </c>
      <c r="L113" t="str">
        <f t="shared" si="11"/>
        <v>Card</v>
      </c>
      <c r="M113" t="s">
        <v>16</v>
      </c>
      <c r="N113">
        <v>3</v>
      </c>
      <c r="O113">
        <v>2.5</v>
      </c>
      <c r="P113">
        <v>606.66999999999996</v>
      </c>
      <c r="Q113">
        <f t="shared" si="7"/>
        <v>606.66999999999996</v>
      </c>
      <c r="R113">
        <f t="shared" si="8"/>
        <v>0</v>
      </c>
    </row>
    <row r="114" spans="1:18" x14ac:dyDescent="0.35">
      <c r="A114">
        <v>10113</v>
      </c>
      <c r="B114" t="s">
        <v>87</v>
      </c>
      <c r="C114" s="1">
        <f t="shared" si="6"/>
        <v>44674</v>
      </c>
      <c r="D114">
        <v>1251</v>
      </c>
      <c r="E114" t="s">
        <v>29</v>
      </c>
      <c r="F114" t="str">
        <f t="shared" si="9"/>
        <v>Home</v>
      </c>
      <c r="G114" t="s">
        <v>13</v>
      </c>
      <c r="H114" t="str">
        <f t="shared" si="10"/>
        <v>South</v>
      </c>
      <c r="I114">
        <v>4</v>
      </c>
      <c r="J114">
        <v>164.03</v>
      </c>
      <c r="K114">
        <v>0.25</v>
      </c>
      <c r="L114" t="str">
        <f t="shared" si="11"/>
        <v>Card</v>
      </c>
      <c r="M114" t="s">
        <v>16</v>
      </c>
      <c r="N114">
        <v>4</v>
      </c>
      <c r="O114">
        <v>2.6</v>
      </c>
      <c r="P114">
        <v>492.09</v>
      </c>
      <c r="Q114">
        <f t="shared" si="7"/>
        <v>492.09</v>
      </c>
      <c r="R114">
        <f t="shared" si="8"/>
        <v>0</v>
      </c>
    </row>
    <row r="115" spans="1:18" x14ac:dyDescent="0.35">
      <c r="A115">
        <v>10114</v>
      </c>
      <c r="B115" t="s">
        <v>88</v>
      </c>
      <c r="C115" s="1">
        <f t="shared" si="6"/>
        <v>44675</v>
      </c>
      <c r="D115">
        <v>1701</v>
      </c>
      <c r="E115" t="s">
        <v>19</v>
      </c>
      <c r="F115" t="str">
        <f t="shared" si="9"/>
        <v>Electronics</v>
      </c>
      <c r="G115" t="s">
        <v>20</v>
      </c>
      <c r="H115" t="str">
        <f t="shared" si="10"/>
        <v>West</v>
      </c>
      <c r="I115">
        <v>1</v>
      </c>
      <c r="J115">
        <v>193.39</v>
      </c>
      <c r="K115">
        <v>0.18</v>
      </c>
      <c r="L115" t="str">
        <f t="shared" si="11"/>
        <v>Card</v>
      </c>
      <c r="M115" t="s">
        <v>16</v>
      </c>
      <c r="N115">
        <v>7</v>
      </c>
      <c r="O115">
        <v>2.2000000000000002</v>
      </c>
      <c r="P115">
        <v>158.58000000000001</v>
      </c>
      <c r="Q115">
        <f t="shared" si="7"/>
        <v>158.58000000000001</v>
      </c>
      <c r="R115">
        <f t="shared" si="8"/>
        <v>0</v>
      </c>
    </row>
    <row r="116" spans="1:18" x14ac:dyDescent="0.35">
      <c r="A116">
        <v>10115</v>
      </c>
      <c r="B116" t="s">
        <v>89</v>
      </c>
      <c r="C116" s="1">
        <f t="shared" si="6"/>
        <v>44676</v>
      </c>
      <c r="D116">
        <v>1295</v>
      </c>
      <c r="E116" t="s">
        <v>15</v>
      </c>
      <c r="F116" t="str">
        <f t="shared" si="9"/>
        <v>Clothing</v>
      </c>
      <c r="G116" t="s">
        <v>20</v>
      </c>
      <c r="H116" t="str">
        <f t="shared" si="10"/>
        <v>West</v>
      </c>
      <c r="I116">
        <v>4</v>
      </c>
      <c r="J116">
        <v>225.64</v>
      </c>
      <c r="K116">
        <v>0.22</v>
      </c>
      <c r="L116" t="str">
        <f t="shared" si="11"/>
        <v>Card</v>
      </c>
      <c r="M116" t="s">
        <v>16</v>
      </c>
      <c r="N116">
        <v>3</v>
      </c>
      <c r="O116">
        <v>3.1</v>
      </c>
      <c r="P116">
        <v>704</v>
      </c>
      <c r="Q116">
        <f t="shared" si="7"/>
        <v>704</v>
      </c>
      <c r="R116">
        <f t="shared" si="8"/>
        <v>0</v>
      </c>
    </row>
    <row r="117" spans="1:18" x14ac:dyDescent="0.35">
      <c r="A117">
        <v>10116</v>
      </c>
      <c r="B117" t="s">
        <v>90</v>
      </c>
      <c r="C117" s="1">
        <f t="shared" si="6"/>
        <v>44677</v>
      </c>
      <c r="D117">
        <v>1724</v>
      </c>
      <c r="E117" t="s">
        <v>19</v>
      </c>
      <c r="F117" t="str">
        <f t="shared" si="9"/>
        <v>Electronics</v>
      </c>
      <c r="G117" t="s">
        <v>21</v>
      </c>
      <c r="H117" t="str">
        <f t="shared" si="10"/>
        <v>North</v>
      </c>
      <c r="I117">
        <v>4</v>
      </c>
      <c r="J117">
        <v>261.01</v>
      </c>
      <c r="K117">
        <v>0.25</v>
      </c>
      <c r="L117" t="str">
        <f t="shared" si="11"/>
        <v>Card</v>
      </c>
      <c r="M117" t="s">
        <v>16</v>
      </c>
      <c r="N117">
        <v>10</v>
      </c>
      <c r="O117">
        <v>2.5</v>
      </c>
      <c r="P117">
        <v>783.03</v>
      </c>
      <c r="Q117">
        <f t="shared" si="7"/>
        <v>783.03</v>
      </c>
      <c r="R117">
        <f t="shared" si="8"/>
        <v>0</v>
      </c>
    </row>
    <row r="118" spans="1:18" x14ac:dyDescent="0.35">
      <c r="A118">
        <v>10117</v>
      </c>
      <c r="B118" t="s">
        <v>91</v>
      </c>
      <c r="C118" s="1">
        <f t="shared" si="6"/>
        <v>44678</v>
      </c>
      <c r="D118">
        <v>1719</v>
      </c>
      <c r="E118" t="s">
        <v>19</v>
      </c>
      <c r="F118" t="str">
        <f t="shared" si="9"/>
        <v>Electronics</v>
      </c>
      <c r="G118" t="s">
        <v>21</v>
      </c>
      <c r="H118" t="str">
        <f t="shared" si="10"/>
        <v>North</v>
      </c>
      <c r="I118">
        <v>4</v>
      </c>
      <c r="J118">
        <v>72.84</v>
      </c>
      <c r="K118">
        <v>0.09</v>
      </c>
      <c r="L118" t="str">
        <f t="shared" si="11"/>
        <v>Card</v>
      </c>
      <c r="M118" t="s">
        <v>16</v>
      </c>
      <c r="N118">
        <v>10</v>
      </c>
      <c r="O118">
        <v>4.9000000000000004</v>
      </c>
      <c r="P118">
        <v>265.14</v>
      </c>
      <c r="Q118">
        <f t="shared" si="7"/>
        <v>265.14</v>
      </c>
      <c r="R118">
        <f t="shared" si="8"/>
        <v>0</v>
      </c>
    </row>
    <row r="119" spans="1:18" x14ac:dyDescent="0.35">
      <c r="A119">
        <v>10118</v>
      </c>
      <c r="B119" t="s">
        <v>92</v>
      </c>
      <c r="C119" s="1">
        <f t="shared" si="6"/>
        <v>44679</v>
      </c>
      <c r="D119">
        <v>1748</v>
      </c>
      <c r="E119" t="s">
        <v>19</v>
      </c>
      <c r="F119" t="str">
        <f t="shared" si="9"/>
        <v>Electronics</v>
      </c>
      <c r="G119" t="s">
        <v>13</v>
      </c>
      <c r="H119" t="str">
        <f t="shared" si="10"/>
        <v>South</v>
      </c>
      <c r="I119">
        <v>1</v>
      </c>
      <c r="J119">
        <v>39.78</v>
      </c>
      <c r="K119">
        <v>0.28000000000000003</v>
      </c>
      <c r="L119" t="str">
        <f t="shared" si="11"/>
        <v>Card</v>
      </c>
      <c r="M119" t="s">
        <v>16</v>
      </c>
      <c r="N119">
        <v>2</v>
      </c>
      <c r="O119">
        <v>4.2</v>
      </c>
      <c r="P119">
        <v>28.64</v>
      </c>
      <c r="Q119">
        <f t="shared" si="7"/>
        <v>28.64</v>
      </c>
      <c r="R119">
        <f t="shared" si="8"/>
        <v>0</v>
      </c>
    </row>
    <row r="120" spans="1:18" x14ac:dyDescent="0.35">
      <c r="A120">
        <v>10119</v>
      </c>
      <c r="B120" t="s">
        <v>93</v>
      </c>
      <c r="C120" s="1">
        <f t="shared" si="6"/>
        <v>44680</v>
      </c>
      <c r="D120">
        <v>1337</v>
      </c>
      <c r="E120" t="s">
        <v>15</v>
      </c>
      <c r="F120" t="str">
        <f t="shared" si="9"/>
        <v>Clothing</v>
      </c>
      <c r="G120" t="s">
        <v>13</v>
      </c>
      <c r="H120" t="str">
        <f t="shared" si="10"/>
        <v>South</v>
      </c>
      <c r="I120">
        <v>6</v>
      </c>
      <c r="J120">
        <v>409.26</v>
      </c>
      <c r="K120">
        <v>0.33</v>
      </c>
      <c r="L120" t="str">
        <f t="shared" si="11"/>
        <v>Cod</v>
      </c>
      <c r="M120" t="s">
        <v>18</v>
      </c>
      <c r="N120">
        <v>10</v>
      </c>
      <c r="O120">
        <v>4.7</v>
      </c>
      <c r="P120">
        <v>1645.23</v>
      </c>
      <c r="Q120">
        <f t="shared" si="7"/>
        <v>1645.23</v>
      </c>
      <c r="R120">
        <f t="shared" si="8"/>
        <v>0</v>
      </c>
    </row>
    <row r="121" spans="1:18" x14ac:dyDescent="0.35">
      <c r="A121">
        <v>10120</v>
      </c>
      <c r="B121" t="s">
        <v>94</v>
      </c>
      <c r="C121" s="1">
        <f t="shared" si="6"/>
        <v>44681</v>
      </c>
      <c r="D121">
        <v>1878</v>
      </c>
      <c r="E121" t="s">
        <v>15</v>
      </c>
      <c r="F121" t="str">
        <f t="shared" si="9"/>
        <v>Clothing</v>
      </c>
      <c r="G121" t="s">
        <v>21</v>
      </c>
      <c r="H121" t="str">
        <f t="shared" si="10"/>
        <v>North</v>
      </c>
      <c r="I121">
        <v>4</v>
      </c>
      <c r="J121">
        <v>329.34</v>
      </c>
      <c r="K121">
        <v>0.16</v>
      </c>
      <c r="L121" t="str">
        <f t="shared" si="11"/>
        <v>Cod</v>
      </c>
      <c r="M121" t="s">
        <v>18</v>
      </c>
      <c r="N121">
        <v>7</v>
      </c>
      <c r="O121">
        <v>3.2</v>
      </c>
      <c r="P121">
        <v>1106.58</v>
      </c>
      <c r="Q121">
        <f t="shared" si="7"/>
        <v>1106.58</v>
      </c>
      <c r="R121">
        <f t="shared" si="8"/>
        <v>0</v>
      </c>
    </row>
    <row r="122" spans="1:18" x14ac:dyDescent="0.35">
      <c r="A122">
        <v>10121</v>
      </c>
      <c r="B122" s="1">
        <v>44566</v>
      </c>
      <c r="C122" s="1">
        <f t="shared" si="6"/>
        <v>44682</v>
      </c>
      <c r="D122">
        <v>1052</v>
      </c>
      <c r="E122" t="s">
        <v>15</v>
      </c>
      <c r="F122" t="str">
        <f t="shared" si="9"/>
        <v>Clothing</v>
      </c>
      <c r="G122" t="s">
        <v>17</v>
      </c>
      <c r="H122" t="str">
        <f t="shared" si="10"/>
        <v>East</v>
      </c>
      <c r="I122">
        <v>6</v>
      </c>
      <c r="J122">
        <v>274.82</v>
      </c>
      <c r="K122">
        <v>0.25</v>
      </c>
      <c r="L122" t="str">
        <f t="shared" si="11"/>
        <v>Cod</v>
      </c>
      <c r="M122" t="s">
        <v>18</v>
      </c>
      <c r="N122">
        <v>5</v>
      </c>
      <c r="O122">
        <v>3.7</v>
      </c>
      <c r="P122">
        <v>1236.69</v>
      </c>
      <c r="Q122">
        <f t="shared" si="7"/>
        <v>1236.69</v>
      </c>
      <c r="R122">
        <f t="shared" si="8"/>
        <v>0</v>
      </c>
    </row>
    <row r="123" spans="1:18" x14ac:dyDescent="0.35">
      <c r="A123">
        <v>10122</v>
      </c>
      <c r="B123" s="1">
        <v>44597</v>
      </c>
      <c r="C123" s="1">
        <f t="shared" si="6"/>
        <v>44683</v>
      </c>
      <c r="D123">
        <v>1791</v>
      </c>
      <c r="E123" t="s">
        <v>15</v>
      </c>
      <c r="F123" t="str">
        <f t="shared" si="9"/>
        <v>Clothing</v>
      </c>
      <c r="G123" t="s">
        <v>17</v>
      </c>
      <c r="H123" t="str">
        <f t="shared" si="10"/>
        <v>East</v>
      </c>
      <c r="I123">
        <v>7</v>
      </c>
      <c r="J123">
        <v>386.15</v>
      </c>
      <c r="K123">
        <v>0.26</v>
      </c>
      <c r="L123" t="str">
        <f t="shared" si="11"/>
        <v>Card</v>
      </c>
      <c r="M123" t="s">
        <v>16</v>
      </c>
      <c r="N123">
        <v>1</v>
      </c>
      <c r="O123">
        <v>1.7</v>
      </c>
      <c r="P123">
        <v>2000.26</v>
      </c>
      <c r="Q123">
        <f t="shared" si="7"/>
        <v>2000.26</v>
      </c>
      <c r="R123">
        <f t="shared" si="8"/>
        <v>0</v>
      </c>
    </row>
    <row r="124" spans="1:18" x14ac:dyDescent="0.35">
      <c r="A124">
        <v>10123</v>
      </c>
      <c r="B124" s="1">
        <v>44625</v>
      </c>
      <c r="C124" s="1">
        <f t="shared" si="6"/>
        <v>44684</v>
      </c>
      <c r="D124">
        <v>1921</v>
      </c>
      <c r="E124" t="s">
        <v>15</v>
      </c>
      <c r="F124" t="str">
        <f t="shared" si="9"/>
        <v>Clothing</v>
      </c>
      <c r="G124" t="s">
        <v>20</v>
      </c>
      <c r="H124" t="str">
        <f t="shared" si="10"/>
        <v>West</v>
      </c>
      <c r="I124">
        <v>7</v>
      </c>
      <c r="J124">
        <v>499.19</v>
      </c>
      <c r="K124">
        <v>0.23</v>
      </c>
      <c r="L124" t="str">
        <f t="shared" si="11"/>
        <v>Wallet</v>
      </c>
      <c r="M124" t="s">
        <v>14</v>
      </c>
      <c r="N124">
        <v>10</v>
      </c>
      <c r="O124">
        <v>4</v>
      </c>
      <c r="P124">
        <v>2690.63</v>
      </c>
      <c r="Q124">
        <f t="shared" si="7"/>
        <v>2690.63</v>
      </c>
      <c r="R124">
        <f t="shared" si="8"/>
        <v>0</v>
      </c>
    </row>
    <row r="125" spans="1:18" x14ac:dyDescent="0.35">
      <c r="A125">
        <v>10124</v>
      </c>
      <c r="B125" s="1">
        <v>44656</v>
      </c>
      <c r="C125" s="1">
        <f t="shared" si="6"/>
        <v>44685</v>
      </c>
      <c r="D125">
        <v>1216</v>
      </c>
      <c r="E125" t="s">
        <v>19</v>
      </c>
      <c r="F125" t="str">
        <f t="shared" si="9"/>
        <v>Electronics</v>
      </c>
      <c r="G125" t="s">
        <v>21</v>
      </c>
      <c r="H125" t="str">
        <f t="shared" si="10"/>
        <v>North</v>
      </c>
      <c r="I125">
        <v>2</v>
      </c>
      <c r="J125">
        <v>265.2</v>
      </c>
      <c r="K125">
        <v>0.19</v>
      </c>
      <c r="L125" t="str">
        <f t="shared" si="11"/>
        <v>Wallet</v>
      </c>
      <c r="M125" t="s">
        <v>14</v>
      </c>
      <c r="N125">
        <v>8</v>
      </c>
      <c r="O125">
        <v>1.9</v>
      </c>
      <c r="P125">
        <v>429.62</v>
      </c>
      <c r="Q125">
        <f t="shared" si="7"/>
        <v>429.62</v>
      </c>
      <c r="R125">
        <f t="shared" si="8"/>
        <v>0</v>
      </c>
    </row>
    <row r="126" spans="1:18" x14ac:dyDescent="0.35">
      <c r="A126">
        <v>10125</v>
      </c>
      <c r="B126" s="1">
        <v>44686</v>
      </c>
      <c r="C126" s="1">
        <f t="shared" si="6"/>
        <v>44686</v>
      </c>
      <c r="D126">
        <v>1763</v>
      </c>
      <c r="E126" t="s">
        <v>15</v>
      </c>
      <c r="F126" t="str">
        <f t="shared" si="9"/>
        <v>Clothing</v>
      </c>
      <c r="G126" t="s">
        <v>21</v>
      </c>
      <c r="H126" t="str">
        <f t="shared" si="10"/>
        <v>North</v>
      </c>
      <c r="I126">
        <v>5</v>
      </c>
      <c r="J126">
        <v>390.05</v>
      </c>
      <c r="K126">
        <v>0.31</v>
      </c>
      <c r="L126" t="str">
        <f t="shared" si="11"/>
        <v>Card</v>
      </c>
      <c r="M126" t="s">
        <v>16</v>
      </c>
      <c r="N126">
        <v>3</v>
      </c>
      <c r="O126">
        <v>1.6</v>
      </c>
      <c r="P126">
        <v>1345.67</v>
      </c>
      <c r="Q126">
        <f t="shared" si="7"/>
        <v>1345.67</v>
      </c>
      <c r="R126">
        <f t="shared" si="8"/>
        <v>0</v>
      </c>
    </row>
    <row r="127" spans="1:18" x14ac:dyDescent="0.35">
      <c r="A127">
        <v>10126</v>
      </c>
      <c r="B127" s="1">
        <v>44717</v>
      </c>
      <c r="C127" s="1">
        <f t="shared" si="6"/>
        <v>44687</v>
      </c>
      <c r="D127">
        <v>1187</v>
      </c>
      <c r="E127" t="s">
        <v>12</v>
      </c>
      <c r="F127" t="str">
        <f t="shared" si="9"/>
        <v>Beauty</v>
      </c>
      <c r="G127" t="s">
        <v>20</v>
      </c>
      <c r="H127" t="str">
        <f t="shared" si="10"/>
        <v>West</v>
      </c>
      <c r="I127">
        <v>6</v>
      </c>
      <c r="J127">
        <v>572.84</v>
      </c>
      <c r="K127">
        <v>0.16</v>
      </c>
      <c r="L127" t="str">
        <f t="shared" si="11"/>
        <v>Cod</v>
      </c>
      <c r="M127" t="s">
        <v>18</v>
      </c>
      <c r="N127">
        <v>11</v>
      </c>
      <c r="O127">
        <v>1.2</v>
      </c>
      <c r="P127">
        <v>2887.11</v>
      </c>
      <c r="Q127">
        <f t="shared" si="7"/>
        <v>2887.11</v>
      </c>
      <c r="R127">
        <f t="shared" si="8"/>
        <v>0</v>
      </c>
    </row>
    <row r="128" spans="1:18" x14ac:dyDescent="0.35">
      <c r="A128">
        <v>10127</v>
      </c>
      <c r="B128" s="1">
        <v>44747</v>
      </c>
      <c r="C128" s="1">
        <f t="shared" si="6"/>
        <v>44688</v>
      </c>
      <c r="D128">
        <v>1379</v>
      </c>
      <c r="E128" t="s">
        <v>15</v>
      </c>
      <c r="F128" t="str">
        <f t="shared" si="9"/>
        <v>Clothing</v>
      </c>
      <c r="G128" t="s">
        <v>13</v>
      </c>
      <c r="H128" t="str">
        <f t="shared" si="10"/>
        <v>South</v>
      </c>
      <c r="I128">
        <v>7</v>
      </c>
      <c r="J128">
        <v>506.18</v>
      </c>
      <c r="K128">
        <v>0.02</v>
      </c>
      <c r="L128" t="str">
        <f t="shared" si="11"/>
        <v>Wallet</v>
      </c>
      <c r="M128" t="s">
        <v>14</v>
      </c>
      <c r="N128">
        <v>7</v>
      </c>
      <c r="O128">
        <v>2.9</v>
      </c>
      <c r="P128">
        <v>3472.39</v>
      </c>
      <c r="Q128">
        <f t="shared" si="7"/>
        <v>3472.39</v>
      </c>
      <c r="R128">
        <f t="shared" si="8"/>
        <v>0</v>
      </c>
    </row>
    <row r="129" spans="1:18" x14ac:dyDescent="0.35">
      <c r="A129">
        <v>10128</v>
      </c>
      <c r="B129" s="1">
        <v>44778</v>
      </c>
      <c r="C129" s="1">
        <f t="shared" si="6"/>
        <v>44689</v>
      </c>
      <c r="D129">
        <v>1492</v>
      </c>
      <c r="E129" t="s">
        <v>29</v>
      </c>
      <c r="F129" t="str">
        <f t="shared" si="9"/>
        <v>Home</v>
      </c>
      <c r="G129" t="s">
        <v>13</v>
      </c>
      <c r="H129" t="str">
        <f t="shared" si="10"/>
        <v>South</v>
      </c>
      <c r="I129">
        <v>5</v>
      </c>
      <c r="J129">
        <v>264.20999999999998</v>
      </c>
      <c r="K129">
        <v>0.3</v>
      </c>
      <c r="L129" t="str">
        <f t="shared" si="11"/>
        <v>Cod</v>
      </c>
      <c r="M129" t="s">
        <v>18</v>
      </c>
      <c r="N129">
        <v>6</v>
      </c>
      <c r="O129">
        <v>2.1</v>
      </c>
      <c r="P129">
        <v>924.73</v>
      </c>
      <c r="Q129">
        <f t="shared" si="7"/>
        <v>924.74</v>
      </c>
      <c r="R129">
        <f t="shared" si="8"/>
        <v>-0.01</v>
      </c>
    </row>
    <row r="130" spans="1:18" x14ac:dyDescent="0.35">
      <c r="A130">
        <v>10129</v>
      </c>
      <c r="B130" s="1">
        <v>44809</v>
      </c>
      <c r="C130" s="1">
        <f t="shared" ref="C130:C193" si="12">DATE(2022,1,1)+A130-10001</f>
        <v>44690</v>
      </c>
      <c r="D130">
        <v>1040</v>
      </c>
      <c r="E130" t="s">
        <v>19</v>
      </c>
      <c r="F130" t="str">
        <f t="shared" si="9"/>
        <v>Electronics</v>
      </c>
      <c r="G130" t="s">
        <v>17</v>
      </c>
      <c r="H130" t="str">
        <f t="shared" si="10"/>
        <v>East</v>
      </c>
      <c r="I130">
        <v>4</v>
      </c>
      <c r="J130">
        <v>392.16</v>
      </c>
      <c r="K130">
        <v>0.24</v>
      </c>
      <c r="L130" t="str">
        <f t="shared" si="11"/>
        <v>Card</v>
      </c>
      <c r="M130" t="s">
        <v>16</v>
      </c>
      <c r="N130">
        <v>10</v>
      </c>
      <c r="O130">
        <v>4.9000000000000004</v>
      </c>
      <c r="P130">
        <v>1192.17</v>
      </c>
      <c r="Q130">
        <f t="shared" ref="Q130:Q193" si="13">ROUND(I130*J130*(1-K130),2)</f>
        <v>1192.17</v>
      </c>
      <c r="R130">
        <f t="shared" ref="R130:R193" si="14">ROUND(P130-Q130,2)</f>
        <v>0</v>
      </c>
    </row>
    <row r="131" spans="1:18" x14ac:dyDescent="0.35">
      <c r="A131">
        <v>10130</v>
      </c>
      <c r="B131" s="1">
        <v>44839</v>
      </c>
      <c r="C131" s="1">
        <f t="shared" si="12"/>
        <v>44691</v>
      </c>
      <c r="D131">
        <v>1156</v>
      </c>
      <c r="E131" t="s">
        <v>29</v>
      </c>
      <c r="F131" t="str">
        <f t="shared" ref="F131:F194" si="15">TRIM(PROPER(E131))</f>
        <v>Home</v>
      </c>
      <c r="G131" t="s">
        <v>21</v>
      </c>
      <c r="H131" t="str">
        <f t="shared" ref="H131:H194" si="16">TRIM(PROPER(G131))</f>
        <v>North</v>
      </c>
      <c r="I131">
        <v>5</v>
      </c>
      <c r="J131">
        <v>118.59</v>
      </c>
      <c r="K131">
        <v>0.3</v>
      </c>
      <c r="L131" t="str">
        <f t="shared" ref="L131:L194" si="17">TRIM(PROPER(M131))</f>
        <v>Cod</v>
      </c>
      <c r="M131" t="s">
        <v>18</v>
      </c>
      <c r="N131">
        <v>6</v>
      </c>
      <c r="O131">
        <v>2</v>
      </c>
      <c r="P131">
        <v>415.06</v>
      </c>
      <c r="Q131">
        <f t="shared" si="13"/>
        <v>415.07</v>
      </c>
      <c r="R131">
        <f t="shared" si="14"/>
        <v>-0.01</v>
      </c>
    </row>
    <row r="132" spans="1:18" x14ac:dyDescent="0.35">
      <c r="A132">
        <v>10131</v>
      </c>
      <c r="B132" s="1">
        <v>44870</v>
      </c>
      <c r="C132" s="1">
        <f t="shared" si="12"/>
        <v>44692</v>
      </c>
      <c r="D132">
        <v>1014</v>
      </c>
      <c r="E132" t="s">
        <v>29</v>
      </c>
      <c r="F132" t="str">
        <f t="shared" si="15"/>
        <v>Home</v>
      </c>
      <c r="G132" t="s">
        <v>13</v>
      </c>
      <c r="H132" t="str">
        <f t="shared" si="16"/>
        <v>South</v>
      </c>
      <c r="I132">
        <v>5</v>
      </c>
      <c r="J132">
        <v>342.91</v>
      </c>
      <c r="K132">
        <v>0.05</v>
      </c>
      <c r="L132" t="str">
        <f t="shared" si="17"/>
        <v>Cod</v>
      </c>
      <c r="M132" t="s">
        <v>18</v>
      </c>
      <c r="N132">
        <v>8</v>
      </c>
      <c r="O132">
        <v>4.5</v>
      </c>
      <c r="P132">
        <v>1628.82</v>
      </c>
      <c r="Q132">
        <f t="shared" si="13"/>
        <v>1628.82</v>
      </c>
      <c r="R132">
        <f t="shared" si="14"/>
        <v>0</v>
      </c>
    </row>
    <row r="133" spans="1:18" x14ac:dyDescent="0.35">
      <c r="A133">
        <v>10132</v>
      </c>
      <c r="B133" s="1">
        <v>44900</v>
      </c>
      <c r="C133" s="1">
        <f t="shared" si="12"/>
        <v>44693</v>
      </c>
      <c r="D133">
        <v>1812</v>
      </c>
      <c r="E133" t="s">
        <v>15</v>
      </c>
      <c r="F133" t="str">
        <f t="shared" si="15"/>
        <v>Clothing</v>
      </c>
      <c r="G133" t="s">
        <v>17</v>
      </c>
      <c r="H133" t="str">
        <f t="shared" si="16"/>
        <v>East</v>
      </c>
      <c r="I133">
        <v>4</v>
      </c>
      <c r="J133">
        <v>589.08000000000004</v>
      </c>
      <c r="K133">
        <v>0.01</v>
      </c>
      <c r="L133" t="str">
        <f t="shared" si="17"/>
        <v>Card</v>
      </c>
      <c r="M133" t="s">
        <v>16</v>
      </c>
      <c r="N133">
        <v>4</v>
      </c>
      <c r="O133">
        <v>2.2999999999999998</v>
      </c>
      <c r="P133">
        <v>2332.7600000000002</v>
      </c>
      <c r="Q133">
        <f t="shared" si="13"/>
        <v>2332.7600000000002</v>
      </c>
      <c r="R133">
        <f t="shared" si="14"/>
        <v>0</v>
      </c>
    </row>
    <row r="134" spans="1:18" x14ac:dyDescent="0.35">
      <c r="A134">
        <v>10133</v>
      </c>
      <c r="B134" t="s">
        <v>95</v>
      </c>
      <c r="C134" s="1">
        <f t="shared" si="12"/>
        <v>44694</v>
      </c>
      <c r="D134">
        <v>1064</v>
      </c>
      <c r="E134" t="s">
        <v>12</v>
      </c>
      <c r="F134" t="str">
        <f t="shared" si="15"/>
        <v>Beauty</v>
      </c>
      <c r="G134" t="s">
        <v>17</v>
      </c>
      <c r="H134" t="str">
        <f t="shared" si="16"/>
        <v>East</v>
      </c>
      <c r="I134">
        <v>6</v>
      </c>
      <c r="J134">
        <v>318.20999999999998</v>
      </c>
      <c r="K134">
        <v>0.33</v>
      </c>
      <c r="L134" t="str">
        <f t="shared" si="17"/>
        <v>Wallet</v>
      </c>
      <c r="M134" t="s">
        <v>14</v>
      </c>
      <c r="N134">
        <v>4</v>
      </c>
      <c r="O134">
        <v>4</v>
      </c>
      <c r="P134">
        <v>1279.2</v>
      </c>
      <c r="Q134">
        <f t="shared" si="13"/>
        <v>1279.2</v>
      </c>
      <c r="R134">
        <f t="shared" si="14"/>
        <v>0</v>
      </c>
    </row>
    <row r="135" spans="1:18" x14ac:dyDescent="0.35">
      <c r="A135">
        <v>10134</v>
      </c>
      <c r="B135" t="s">
        <v>96</v>
      </c>
      <c r="C135" s="1">
        <f t="shared" si="12"/>
        <v>44695</v>
      </c>
      <c r="D135">
        <v>1856</v>
      </c>
      <c r="E135" t="s">
        <v>19</v>
      </c>
      <c r="F135" t="str">
        <f t="shared" si="15"/>
        <v>Electronics</v>
      </c>
      <c r="G135" t="s">
        <v>17</v>
      </c>
      <c r="H135" t="str">
        <f t="shared" si="16"/>
        <v>East</v>
      </c>
      <c r="I135">
        <v>4</v>
      </c>
      <c r="J135">
        <v>557.66999999999996</v>
      </c>
      <c r="K135">
        <v>0.05</v>
      </c>
      <c r="L135" t="str">
        <f t="shared" si="17"/>
        <v>Cod</v>
      </c>
      <c r="M135" t="s">
        <v>18</v>
      </c>
      <c r="N135">
        <v>3</v>
      </c>
      <c r="O135">
        <v>3.6</v>
      </c>
      <c r="P135">
        <v>2119.15</v>
      </c>
      <c r="Q135">
        <f t="shared" si="13"/>
        <v>2119.15</v>
      </c>
      <c r="R135">
        <f t="shared" si="14"/>
        <v>0</v>
      </c>
    </row>
    <row r="136" spans="1:18" x14ac:dyDescent="0.35">
      <c r="A136">
        <v>10135</v>
      </c>
      <c r="B136" t="s">
        <v>97</v>
      </c>
      <c r="C136" s="1">
        <f t="shared" si="12"/>
        <v>44696</v>
      </c>
      <c r="D136">
        <v>1838</v>
      </c>
      <c r="E136" t="s">
        <v>19</v>
      </c>
      <c r="F136" t="str">
        <f t="shared" si="15"/>
        <v>Electronics</v>
      </c>
      <c r="G136" t="s">
        <v>13</v>
      </c>
      <c r="H136" t="str">
        <f t="shared" si="16"/>
        <v>South</v>
      </c>
      <c r="I136">
        <v>2</v>
      </c>
      <c r="J136">
        <v>253.29</v>
      </c>
      <c r="K136">
        <v>0.28000000000000003</v>
      </c>
      <c r="L136" t="str">
        <f t="shared" si="17"/>
        <v>Card</v>
      </c>
      <c r="M136" t="s">
        <v>16</v>
      </c>
      <c r="N136">
        <v>1</v>
      </c>
      <c r="O136">
        <v>3.2</v>
      </c>
      <c r="P136">
        <v>364.74</v>
      </c>
      <c r="Q136">
        <f t="shared" si="13"/>
        <v>364.74</v>
      </c>
      <c r="R136">
        <f t="shared" si="14"/>
        <v>0</v>
      </c>
    </row>
    <row r="137" spans="1:18" x14ac:dyDescent="0.35">
      <c r="A137">
        <v>10136</v>
      </c>
      <c r="B137" t="s">
        <v>98</v>
      </c>
      <c r="C137" s="1">
        <f t="shared" si="12"/>
        <v>44697</v>
      </c>
      <c r="D137">
        <v>1520</v>
      </c>
      <c r="E137" t="s">
        <v>29</v>
      </c>
      <c r="F137" t="str">
        <f t="shared" si="15"/>
        <v>Home</v>
      </c>
      <c r="G137" t="s">
        <v>13</v>
      </c>
      <c r="H137" t="str">
        <f t="shared" si="16"/>
        <v>South</v>
      </c>
      <c r="I137">
        <v>3</v>
      </c>
      <c r="J137">
        <v>599.32000000000005</v>
      </c>
      <c r="K137">
        <v>0.28999999999999998</v>
      </c>
      <c r="L137" t="str">
        <f t="shared" si="17"/>
        <v>Cod</v>
      </c>
      <c r="M137" t="s">
        <v>18</v>
      </c>
      <c r="N137">
        <v>10</v>
      </c>
      <c r="O137">
        <v>2.7</v>
      </c>
      <c r="P137">
        <v>1276.55</v>
      </c>
      <c r="Q137">
        <f t="shared" si="13"/>
        <v>1276.55</v>
      </c>
      <c r="R137">
        <f t="shared" si="14"/>
        <v>0</v>
      </c>
    </row>
    <row r="138" spans="1:18" x14ac:dyDescent="0.35">
      <c r="A138">
        <v>10137</v>
      </c>
      <c r="B138" t="s">
        <v>99</v>
      </c>
      <c r="C138" s="1">
        <f t="shared" si="12"/>
        <v>44698</v>
      </c>
      <c r="D138">
        <v>1343</v>
      </c>
      <c r="E138" t="s">
        <v>29</v>
      </c>
      <c r="F138" t="str">
        <f t="shared" si="15"/>
        <v>Home</v>
      </c>
      <c r="G138" t="s">
        <v>21</v>
      </c>
      <c r="H138" t="str">
        <f t="shared" si="16"/>
        <v>North</v>
      </c>
      <c r="I138">
        <v>1</v>
      </c>
      <c r="J138">
        <v>353.84</v>
      </c>
      <c r="K138">
        <v>0.25</v>
      </c>
      <c r="L138" t="str">
        <f t="shared" si="17"/>
        <v>Cod</v>
      </c>
      <c r="M138" t="s">
        <v>18</v>
      </c>
      <c r="N138">
        <v>3</v>
      </c>
      <c r="O138">
        <v>3.7</v>
      </c>
      <c r="P138">
        <v>265.38</v>
      </c>
      <c r="Q138">
        <f t="shared" si="13"/>
        <v>265.38</v>
      </c>
      <c r="R138">
        <f t="shared" si="14"/>
        <v>0</v>
      </c>
    </row>
    <row r="139" spans="1:18" x14ac:dyDescent="0.35">
      <c r="A139">
        <v>10138</v>
      </c>
      <c r="B139" t="s">
        <v>100</v>
      </c>
      <c r="C139" s="1">
        <f t="shared" si="12"/>
        <v>44699</v>
      </c>
      <c r="D139">
        <v>1128</v>
      </c>
      <c r="E139" t="s">
        <v>19</v>
      </c>
      <c r="F139" t="str">
        <f t="shared" si="15"/>
        <v>Electronics</v>
      </c>
      <c r="G139" t="s">
        <v>21</v>
      </c>
      <c r="H139" t="str">
        <f t="shared" si="16"/>
        <v>North</v>
      </c>
      <c r="I139">
        <v>4</v>
      </c>
      <c r="J139">
        <v>39.729999999999997</v>
      </c>
      <c r="K139">
        <v>0.05</v>
      </c>
      <c r="L139" t="str">
        <f t="shared" si="17"/>
        <v>Card</v>
      </c>
      <c r="M139" t="s">
        <v>16</v>
      </c>
      <c r="N139">
        <v>1</v>
      </c>
      <c r="O139">
        <v>2.6</v>
      </c>
      <c r="P139">
        <v>150.97</v>
      </c>
      <c r="Q139">
        <f t="shared" si="13"/>
        <v>150.97</v>
      </c>
      <c r="R139">
        <f t="shared" si="14"/>
        <v>0</v>
      </c>
    </row>
    <row r="140" spans="1:18" x14ac:dyDescent="0.35">
      <c r="A140">
        <v>10139</v>
      </c>
      <c r="B140" t="s">
        <v>101</v>
      </c>
      <c r="C140" s="1">
        <f t="shared" si="12"/>
        <v>44700</v>
      </c>
      <c r="D140">
        <v>1647</v>
      </c>
      <c r="E140" t="s">
        <v>19</v>
      </c>
      <c r="F140" t="str">
        <f t="shared" si="15"/>
        <v>Electronics</v>
      </c>
      <c r="G140" t="s">
        <v>17</v>
      </c>
      <c r="H140" t="str">
        <f t="shared" si="16"/>
        <v>East</v>
      </c>
      <c r="I140">
        <v>4</v>
      </c>
      <c r="J140">
        <v>358.25</v>
      </c>
      <c r="K140">
        <v>0.23</v>
      </c>
      <c r="L140" t="str">
        <f t="shared" si="17"/>
        <v>Card</v>
      </c>
      <c r="M140" t="s">
        <v>16</v>
      </c>
      <c r="N140">
        <v>6</v>
      </c>
      <c r="O140">
        <v>3.2</v>
      </c>
      <c r="P140">
        <v>1103.4100000000001</v>
      </c>
      <c r="Q140">
        <f t="shared" si="13"/>
        <v>1103.4100000000001</v>
      </c>
      <c r="R140">
        <f t="shared" si="14"/>
        <v>0</v>
      </c>
    </row>
    <row r="141" spans="1:18" x14ac:dyDescent="0.35">
      <c r="A141">
        <v>10140</v>
      </c>
      <c r="B141" t="s">
        <v>102</v>
      </c>
      <c r="C141" s="1">
        <f t="shared" si="12"/>
        <v>44701</v>
      </c>
      <c r="D141">
        <v>1471</v>
      </c>
      <c r="E141" t="s">
        <v>19</v>
      </c>
      <c r="F141" t="str">
        <f t="shared" si="15"/>
        <v>Electronics</v>
      </c>
      <c r="G141" t="s">
        <v>17</v>
      </c>
      <c r="H141" t="str">
        <f t="shared" si="16"/>
        <v>East</v>
      </c>
      <c r="I141">
        <v>5</v>
      </c>
      <c r="J141">
        <v>175.63</v>
      </c>
      <c r="K141">
        <v>0.31</v>
      </c>
      <c r="L141" t="str">
        <f t="shared" si="17"/>
        <v>Wallet</v>
      </c>
      <c r="M141" t="s">
        <v>14</v>
      </c>
      <c r="N141">
        <v>8</v>
      </c>
      <c r="O141">
        <v>3.4</v>
      </c>
      <c r="P141">
        <v>605.91999999999996</v>
      </c>
      <c r="Q141">
        <f t="shared" si="13"/>
        <v>605.91999999999996</v>
      </c>
      <c r="R141">
        <f t="shared" si="14"/>
        <v>0</v>
      </c>
    </row>
    <row r="142" spans="1:18" x14ac:dyDescent="0.35">
      <c r="A142">
        <v>10141</v>
      </c>
      <c r="B142" t="s">
        <v>103</v>
      </c>
      <c r="C142" s="1">
        <f t="shared" si="12"/>
        <v>44702</v>
      </c>
      <c r="D142">
        <v>1062</v>
      </c>
      <c r="E142" t="s">
        <v>19</v>
      </c>
      <c r="F142" t="str">
        <f t="shared" si="15"/>
        <v>Electronics</v>
      </c>
      <c r="G142" t="s">
        <v>13</v>
      </c>
      <c r="H142" t="str">
        <f t="shared" si="16"/>
        <v>South</v>
      </c>
      <c r="I142">
        <v>2</v>
      </c>
      <c r="J142">
        <v>34</v>
      </c>
      <c r="K142">
        <v>0.15</v>
      </c>
      <c r="L142" t="str">
        <f t="shared" si="17"/>
        <v>Cod</v>
      </c>
      <c r="M142" t="s">
        <v>18</v>
      </c>
      <c r="N142">
        <v>3</v>
      </c>
      <c r="O142">
        <v>2.1</v>
      </c>
      <c r="P142">
        <v>57.8</v>
      </c>
      <c r="Q142">
        <f t="shared" si="13"/>
        <v>57.8</v>
      </c>
      <c r="R142">
        <f t="shared" si="14"/>
        <v>0</v>
      </c>
    </row>
    <row r="143" spans="1:18" x14ac:dyDescent="0.35">
      <c r="A143">
        <v>10142</v>
      </c>
      <c r="B143" t="s">
        <v>104</v>
      </c>
      <c r="C143" s="1">
        <f t="shared" si="12"/>
        <v>44703</v>
      </c>
      <c r="D143">
        <v>1138</v>
      </c>
      <c r="E143" t="s">
        <v>29</v>
      </c>
      <c r="F143" t="str">
        <f t="shared" si="15"/>
        <v>Home</v>
      </c>
      <c r="G143" t="s">
        <v>13</v>
      </c>
      <c r="H143" t="str">
        <f t="shared" si="16"/>
        <v>South</v>
      </c>
      <c r="I143">
        <v>7</v>
      </c>
      <c r="J143">
        <v>495.2</v>
      </c>
      <c r="K143">
        <v>0.14000000000000001</v>
      </c>
      <c r="L143" t="str">
        <f t="shared" si="17"/>
        <v>Card</v>
      </c>
      <c r="M143" t="s">
        <v>16</v>
      </c>
      <c r="N143">
        <v>4</v>
      </c>
      <c r="O143">
        <v>2.4</v>
      </c>
      <c r="P143">
        <v>2981.1</v>
      </c>
      <c r="Q143">
        <f t="shared" si="13"/>
        <v>2981.1</v>
      </c>
      <c r="R143">
        <f t="shared" si="14"/>
        <v>0</v>
      </c>
    </row>
    <row r="144" spans="1:18" x14ac:dyDescent="0.35">
      <c r="A144">
        <v>10143</v>
      </c>
      <c r="B144" t="s">
        <v>105</v>
      </c>
      <c r="C144" s="1">
        <f t="shared" si="12"/>
        <v>44704</v>
      </c>
      <c r="D144">
        <v>1498</v>
      </c>
      <c r="E144" t="s">
        <v>15</v>
      </c>
      <c r="F144" t="str">
        <f t="shared" si="15"/>
        <v>Clothing</v>
      </c>
      <c r="G144" t="s">
        <v>21</v>
      </c>
      <c r="H144" t="str">
        <f t="shared" si="16"/>
        <v>North</v>
      </c>
      <c r="I144">
        <v>7</v>
      </c>
      <c r="J144">
        <v>176.3</v>
      </c>
      <c r="K144">
        <v>0.16</v>
      </c>
      <c r="L144" t="str">
        <f t="shared" si="17"/>
        <v>Card</v>
      </c>
      <c r="M144" t="s">
        <v>16</v>
      </c>
      <c r="N144">
        <v>5</v>
      </c>
      <c r="O144">
        <v>1.1000000000000001</v>
      </c>
      <c r="P144">
        <v>1036.6400000000001</v>
      </c>
      <c r="Q144">
        <f t="shared" si="13"/>
        <v>1036.6400000000001</v>
      </c>
      <c r="R144">
        <f t="shared" si="14"/>
        <v>0</v>
      </c>
    </row>
    <row r="145" spans="1:18" x14ac:dyDescent="0.35">
      <c r="A145">
        <v>10144</v>
      </c>
      <c r="B145" t="s">
        <v>106</v>
      </c>
      <c r="C145" s="1">
        <f t="shared" si="12"/>
        <v>44705</v>
      </c>
      <c r="D145">
        <v>1592</v>
      </c>
      <c r="E145" t="s">
        <v>19</v>
      </c>
      <c r="F145" t="str">
        <f t="shared" si="15"/>
        <v>Electronics</v>
      </c>
      <c r="G145" t="s">
        <v>21</v>
      </c>
      <c r="H145" t="str">
        <f t="shared" si="16"/>
        <v>North</v>
      </c>
      <c r="I145">
        <v>5</v>
      </c>
      <c r="J145">
        <v>480.98</v>
      </c>
      <c r="K145">
        <v>0.03</v>
      </c>
      <c r="L145" t="str">
        <f t="shared" si="17"/>
        <v>Cod</v>
      </c>
      <c r="M145" t="s">
        <v>18</v>
      </c>
      <c r="N145">
        <v>7</v>
      </c>
      <c r="O145">
        <v>4.4000000000000004</v>
      </c>
      <c r="P145">
        <v>2332.75</v>
      </c>
      <c r="Q145">
        <f t="shared" si="13"/>
        <v>2332.75</v>
      </c>
      <c r="R145">
        <f t="shared" si="14"/>
        <v>0</v>
      </c>
    </row>
    <row r="146" spans="1:18" x14ac:dyDescent="0.35">
      <c r="A146">
        <v>10145</v>
      </c>
      <c r="B146" t="s">
        <v>107</v>
      </c>
      <c r="C146" s="1">
        <f t="shared" si="12"/>
        <v>44706</v>
      </c>
      <c r="D146">
        <v>1391</v>
      </c>
      <c r="E146" t="s">
        <v>15</v>
      </c>
      <c r="F146" t="str">
        <f t="shared" si="15"/>
        <v>Clothing</v>
      </c>
      <c r="G146" t="s">
        <v>20</v>
      </c>
      <c r="H146" t="str">
        <f t="shared" si="16"/>
        <v>West</v>
      </c>
      <c r="I146">
        <v>6</v>
      </c>
      <c r="J146">
        <v>183.61</v>
      </c>
      <c r="K146">
        <v>0.31</v>
      </c>
      <c r="L146" t="str">
        <f t="shared" si="17"/>
        <v>Cod</v>
      </c>
      <c r="M146" t="s">
        <v>18</v>
      </c>
      <c r="N146">
        <v>11</v>
      </c>
      <c r="O146">
        <v>4</v>
      </c>
      <c r="P146">
        <v>760.15</v>
      </c>
      <c r="Q146">
        <f t="shared" si="13"/>
        <v>760.15</v>
      </c>
      <c r="R146">
        <f t="shared" si="14"/>
        <v>0</v>
      </c>
    </row>
    <row r="147" spans="1:18" x14ac:dyDescent="0.35">
      <c r="A147">
        <v>10146</v>
      </c>
      <c r="B147" t="s">
        <v>108</v>
      </c>
      <c r="C147" s="1">
        <f t="shared" si="12"/>
        <v>44707</v>
      </c>
      <c r="D147">
        <v>1674</v>
      </c>
      <c r="E147" t="s">
        <v>19</v>
      </c>
      <c r="F147" t="str">
        <f t="shared" si="15"/>
        <v>Electronics</v>
      </c>
      <c r="G147" t="s">
        <v>21</v>
      </c>
      <c r="H147" t="str">
        <f t="shared" si="16"/>
        <v>North</v>
      </c>
      <c r="I147">
        <v>4</v>
      </c>
      <c r="J147">
        <v>128.68</v>
      </c>
      <c r="K147">
        <v>0.3</v>
      </c>
      <c r="L147" t="str">
        <f t="shared" si="17"/>
        <v>Card</v>
      </c>
      <c r="M147" t="s">
        <v>16</v>
      </c>
      <c r="N147">
        <v>6</v>
      </c>
      <c r="O147">
        <v>1.7</v>
      </c>
      <c r="P147">
        <v>360.3</v>
      </c>
      <c r="Q147">
        <f t="shared" si="13"/>
        <v>360.3</v>
      </c>
      <c r="R147">
        <f t="shared" si="14"/>
        <v>0</v>
      </c>
    </row>
    <row r="148" spans="1:18" x14ac:dyDescent="0.35">
      <c r="A148">
        <v>10147</v>
      </c>
      <c r="B148" t="s">
        <v>109</v>
      </c>
      <c r="C148" s="1">
        <f t="shared" si="12"/>
        <v>44708</v>
      </c>
      <c r="D148">
        <v>1418</v>
      </c>
      <c r="E148" t="s">
        <v>19</v>
      </c>
      <c r="F148" t="str">
        <f t="shared" si="15"/>
        <v>Electronics</v>
      </c>
      <c r="G148" t="s">
        <v>13</v>
      </c>
      <c r="H148" t="str">
        <f t="shared" si="16"/>
        <v>South</v>
      </c>
      <c r="I148">
        <v>4</v>
      </c>
      <c r="J148">
        <v>584.75</v>
      </c>
      <c r="K148">
        <v>0.35</v>
      </c>
      <c r="L148" t="str">
        <f t="shared" si="17"/>
        <v>Cod</v>
      </c>
      <c r="M148" t="s">
        <v>18</v>
      </c>
      <c r="N148">
        <v>2</v>
      </c>
      <c r="O148">
        <v>2.4</v>
      </c>
      <c r="P148">
        <v>1520.35</v>
      </c>
      <c r="Q148">
        <f t="shared" si="13"/>
        <v>1520.35</v>
      </c>
      <c r="R148">
        <f t="shared" si="14"/>
        <v>0</v>
      </c>
    </row>
    <row r="149" spans="1:18" x14ac:dyDescent="0.35">
      <c r="A149">
        <v>10148</v>
      </c>
      <c r="B149" t="s">
        <v>110</v>
      </c>
      <c r="C149" s="1">
        <f t="shared" si="12"/>
        <v>44709</v>
      </c>
      <c r="D149">
        <v>1288</v>
      </c>
      <c r="E149" t="s">
        <v>15</v>
      </c>
      <c r="F149" t="str">
        <f t="shared" si="15"/>
        <v>Clothing</v>
      </c>
      <c r="G149" t="s">
        <v>17</v>
      </c>
      <c r="H149" t="str">
        <f t="shared" si="16"/>
        <v>East</v>
      </c>
      <c r="I149">
        <v>5</v>
      </c>
      <c r="J149">
        <v>226.56</v>
      </c>
      <c r="K149">
        <v>0.2</v>
      </c>
      <c r="L149" t="str">
        <f t="shared" si="17"/>
        <v>Card</v>
      </c>
      <c r="M149" t="s">
        <v>16</v>
      </c>
      <c r="N149">
        <v>7</v>
      </c>
      <c r="O149">
        <v>2.7</v>
      </c>
      <c r="P149">
        <v>906.24</v>
      </c>
      <c r="Q149">
        <f t="shared" si="13"/>
        <v>906.24</v>
      </c>
      <c r="R149">
        <f t="shared" si="14"/>
        <v>0</v>
      </c>
    </row>
    <row r="150" spans="1:18" x14ac:dyDescent="0.35">
      <c r="A150">
        <v>10149</v>
      </c>
      <c r="B150" t="s">
        <v>111</v>
      </c>
      <c r="C150" s="1">
        <f t="shared" si="12"/>
        <v>44710</v>
      </c>
      <c r="D150">
        <v>1378</v>
      </c>
      <c r="E150" t="s">
        <v>12</v>
      </c>
      <c r="F150" t="str">
        <f t="shared" si="15"/>
        <v>Beauty</v>
      </c>
      <c r="G150" t="s">
        <v>20</v>
      </c>
      <c r="H150" t="str">
        <f t="shared" si="16"/>
        <v>West</v>
      </c>
      <c r="I150">
        <v>4</v>
      </c>
      <c r="J150">
        <v>366.81</v>
      </c>
      <c r="K150">
        <v>0.26</v>
      </c>
      <c r="L150" t="str">
        <f t="shared" si="17"/>
        <v>Card</v>
      </c>
      <c r="M150" t="s">
        <v>16</v>
      </c>
      <c r="N150">
        <v>8</v>
      </c>
      <c r="O150">
        <v>2.2999999999999998</v>
      </c>
      <c r="P150">
        <v>1085.76</v>
      </c>
      <c r="Q150">
        <f t="shared" si="13"/>
        <v>1085.76</v>
      </c>
      <c r="R150">
        <f t="shared" si="14"/>
        <v>0</v>
      </c>
    </row>
    <row r="151" spans="1:18" x14ac:dyDescent="0.35">
      <c r="A151">
        <v>10150</v>
      </c>
      <c r="B151" t="s">
        <v>112</v>
      </c>
      <c r="C151" s="1">
        <f t="shared" si="12"/>
        <v>44711</v>
      </c>
      <c r="D151">
        <v>1772</v>
      </c>
      <c r="E151" t="s">
        <v>29</v>
      </c>
      <c r="F151" t="str">
        <f t="shared" si="15"/>
        <v>Home</v>
      </c>
      <c r="G151" t="s">
        <v>21</v>
      </c>
      <c r="H151" t="str">
        <f t="shared" si="16"/>
        <v>North</v>
      </c>
      <c r="I151">
        <v>6</v>
      </c>
      <c r="J151">
        <v>371.84</v>
      </c>
      <c r="K151">
        <v>7.0000000000000007E-2</v>
      </c>
      <c r="L151" t="str">
        <f t="shared" si="17"/>
        <v>Cod</v>
      </c>
      <c r="M151" t="s">
        <v>18</v>
      </c>
      <c r="N151">
        <v>1</v>
      </c>
      <c r="O151">
        <v>4.2</v>
      </c>
      <c r="P151">
        <v>2074.87</v>
      </c>
      <c r="Q151">
        <f t="shared" si="13"/>
        <v>2074.87</v>
      </c>
      <c r="R151">
        <f t="shared" si="14"/>
        <v>0</v>
      </c>
    </row>
    <row r="152" spans="1:18" x14ac:dyDescent="0.35">
      <c r="A152">
        <v>10151</v>
      </c>
      <c r="B152" t="s">
        <v>113</v>
      </c>
      <c r="C152" s="1">
        <f t="shared" si="12"/>
        <v>44712</v>
      </c>
      <c r="D152">
        <v>1489</v>
      </c>
      <c r="E152" t="s">
        <v>19</v>
      </c>
      <c r="F152" t="str">
        <f t="shared" si="15"/>
        <v>Electronics</v>
      </c>
      <c r="G152" t="s">
        <v>21</v>
      </c>
      <c r="H152" t="str">
        <f t="shared" si="16"/>
        <v>North</v>
      </c>
      <c r="I152">
        <v>3</v>
      </c>
      <c r="J152">
        <v>342.88</v>
      </c>
      <c r="K152">
        <v>0.23</v>
      </c>
      <c r="L152" t="str">
        <f t="shared" si="17"/>
        <v>Card</v>
      </c>
      <c r="M152" t="s">
        <v>16</v>
      </c>
      <c r="N152">
        <v>6</v>
      </c>
      <c r="O152">
        <v>3.9</v>
      </c>
      <c r="P152">
        <v>792.05</v>
      </c>
      <c r="Q152">
        <f t="shared" si="13"/>
        <v>792.05</v>
      </c>
      <c r="R152">
        <f t="shared" si="14"/>
        <v>0</v>
      </c>
    </row>
    <row r="153" spans="1:18" x14ac:dyDescent="0.35">
      <c r="A153">
        <v>10152</v>
      </c>
      <c r="B153" s="1">
        <v>44567</v>
      </c>
      <c r="C153" s="1">
        <f t="shared" si="12"/>
        <v>44713</v>
      </c>
      <c r="D153">
        <v>1230</v>
      </c>
      <c r="E153" t="s">
        <v>12</v>
      </c>
      <c r="F153" t="str">
        <f t="shared" si="15"/>
        <v>Beauty</v>
      </c>
      <c r="G153" t="s">
        <v>13</v>
      </c>
      <c r="H153" t="str">
        <f t="shared" si="16"/>
        <v>South</v>
      </c>
      <c r="I153">
        <v>1</v>
      </c>
      <c r="J153">
        <v>550.1</v>
      </c>
      <c r="K153">
        <v>0.23</v>
      </c>
      <c r="L153" t="str">
        <f t="shared" si="17"/>
        <v>Wallet</v>
      </c>
      <c r="M153" t="s">
        <v>14</v>
      </c>
      <c r="N153">
        <v>11</v>
      </c>
      <c r="O153">
        <v>4.0999999999999996</v>
      </c>
      <c r="P153">
        <v>423.58</v>
      </c>
      <c r="Q153">
        <f t="shared" si="13"/>
        <v>423.58</v>
      </c>
      <c r="R153">
        <f t="shared" si="14"/>
        <v>0</v>
      </c>
    </row>
    <row r="154" spans="1:18" x14ac:dyDescent="0.35">
      <c r="A154">
        <v>10153</v>
      </c>
      <c r="B154" s="1">
        <v>44598</v>
      </c>
      <c r="C154" s="1">
        <f t="shared" si="12"/>
        <v>44714</v>
      </c>
      <c r="D154">
        <v>1040</v>
      </c>
      <c r="E154" t="s">
        <v>29</v>
      </c>
      <c r="F154" t="str">
        <f t="shared" si="15"/>
        <v>Home</v>
      </c>
      <c r="G154" t="s">
        <v>20</v>
      </c>
      <c r="H154" t="str">
        <f t="shared" si="16"/>
        <v>West</v>
      </c>
      <c r="I154">
        <v>1</v>
      </c>
      <c r="J154">
        <v>409.55</v>
      </c>
      <c r="K154">
        <v>0.32</v>
      </c>
      <c r="L154" t="str">
        <f t="shared" si="17"/>
        <v>Card</v>
      </c>
      <c r="M154" t="s">
        <v>16</v>
      </c>
      <c r="N154">
        <v>9</v>
      </c>
      <c r="O154">
        <v>4.5999999999999996</v>
      </c>
      <c r="P154">
        <v>278.49</v>
      </c>
      <c r="Q154">
        <f t="shared" si="13"/>
        <v>278.49</v>
      </c>
      <c r="R154">
        <f t="shared" si="14"/>
        <v>0</v>
      </c>
    </row>
    <row r="155" spans="1:18" x14ac:dyDescent="0.35">
      <c r="A155">
        <v>10154</v>
      </c>
      <c r="B155" s="1">
        <v>44626</v>
      </c>
      <c r="C155" s="1">
        <f t="shared" si="12"/>
        <v>44715</v>
      </c>
      <c r="D155">
        <v>1027</v>
      </c>
      <c r="E155" t="s">
        <v>29</v>
      </c>
      <c r="F155" t="str">
        <f t="shared" si="15"/>
        <v>Home</v>
      </c>
      <c r="G155" t="s">
        <v>21</v>
      </c>
      <c r="H155" t="str">
        <f t="shared" si="16"/>
        <v>North</v>
      </c>
      <c r="I155">
        <v>1</v>
      </c>
      <c r="J155">
        <v>251.18</v>
      </c>
      <c r="K155">
        <v>0.28999999999999998</v>
      </c>
      <c r="L155" t="str">
        <f t="shared" si="17"/>
        <v>Cod</v>
      </c>
      <c r="M155" t="s">
        <v>18</v>
      </c>
      <c r="N155">
        <v>7</v>
      </c>
      <c r="O155">
        <v>3.4</v>
      </c>
      <c r="P155">
        <v>178.34</v>
      </c>
      <c r="Q155">
        <f t="shared" si="13"/>
        <v>178.34</v>
      </c>
      <c r="R155">
        <f t="shared" si="14"/>
        <v>0</v>
      </c>
    </row>
    <row r="156" spans="1:18" x14ac:dyDescent="0.35">
      <c r="A156">
        <v>10155</v>
      </c>
      <c r="B156" s="1">
        <v>44657</v>
      </c>
      <c r="C156" s="1">
        <f t="shared" si="12"/>
        <v>44716</v>
      </c>
      <c r="D156">
        <v>1134</v>
      </c>
      <c r="E156" t="s">
        <v>15</v>
      </c>
      <c r="F156" t="str">
        <f t="shared" si="15"/>
        <v>Clothing</v>
      </c>
      <c r="G156" t="s">
        <v>17</v>
      </c>
      <c r="H156" t="str">
        <f t="shared" si="16"/>
        <v>East</v>
      </c>
      <c r="I156">
        <v>3</v>
      </c>
      <c r="J156">
        <v>519.49</v>
      </c>
      <c r="K156">
        <v>0.33</v>
      </c>
      <c r="L156" t="str">
        <f t="shared" si="17"/>
        <v>Card</v>
      </c>
      <c r="M156" t="s">
        <v>16</v>
      </c>
      <c r="N156">
        <v>5</v>
      </c>
      <c r="O156">
        <v>3.5</v>
      </c>
      <c r="P156">
        <v>1044.17</v>
      </c>
      <c r="Q156">
        <f t="shared" si="13"/>
        <v>1044.17</v>
      </c>
      <c r="R156">
        <f t="shared" si="14"/>
        <v>0</v>
      </c>
    </row>
    <row r="157" spans="1:18" x14ac:dyDescent="0.35">
      <c r="A157">
        <v>10156</v>
      </c>
      <c r="B157" s="1">
        <v>44687</v>
      </c>
      <c r="C157" s="1">
        <f t="shared" si="12"/>
        <v>44717</v>
      </c>
      <c r="D157">
        <v>1200</v>
      </c>
      <c r="E157" t="s">
        <v>15</v>
      </c>
      <c r="F157" t="str">
        <f t="shared" si="15"/>
        <v>Clothing</v>
      </c>
      <c r="G157" t="s">
        <v>13</v>
      </c>
      <c r="H157" t="str">
        <f t="shared" si="16"/>
        <v>South</v>
      </c>
      <c r="I157">
        <v>4</v>
      </c>
      <c r="J157">
        <v>120.92</v>
      </c>
      <c r="K157">
        <v>0.3</v>
      </c>
      <c r="L157" t="str">
        <f t="shared" si="17"/>
        <v>Card</v>
      </c>
      <c r="M157" t="s">
        <v>16</v>
      </c>
      <c r="N157">
        <v>10</v>
      </c>
      <c r="O157">
        <v>3.9</v>
      </c>
      <c r="P157">
        <v>338.58</v>
      </c>
      <c r="Q157">
        <f t="shared" si="13"/>
        <v>338.58</v>
      </c>
      <c r="R157">
        <f t="shared" si="14"/>
        <v>0</v>
      </c>
    </row>
    <row r="158" spans="1:18" x14ac:dyDescent="0.35">
      <c r="A158">
        <v>10157</v>
      </c>
      <c r="B158" s="1">
        <v>44718</v>
      </c>
      <c r="C158" s="1">
        <f t="shared" si="12"/>
        <v>44718</v>
      </c>
      <c r="D158">
        <v>1839</v>
      </c>
      <c r="E158" t="s">
        <v>19</v>
      </c>
      <c r="F158" t="str">
        <f t="shared" si="15"/>
        <v>Electronics</v>
      </c>
      <c r="G158" t="s">
        <v>20</v>
      </c>
      <c r="H158" t="str">
        <f t="shared" si="16"/>
        <v>West</v>
      </c>
      <c r="I158">
        <v>5</v>
      </c>
      <c r="J158">
        <v>333.38</v>
      </c>
      <c r="K158">
        <v>0.3</v>
      </c>
      <c r="L158" t="str">
        <f t="shared" si="17"/>
        <v>Cod</v>
      </c>
      <c r="M158" t="s">
        <v>18</v>
      </c>
      <c r="N158">
        <v>11</v>
      </c>
      <c r="O158">
        <v>3.7</v>
      </c>
      <c r="P158">
        <v>1166.83</v>
      </c>
      <c r="Q158">
        <f t="shared" si="13"/>
        <v>1166.83</v>
      </c>
      <c r="R158">
        <f t="shared" si="14"/>
        <v>0</v>
      </c>
    </row>
    <row r="159" spans="1:18" x14ac:dyDescent="0.35">
      <c r="A159">
        <v>10158</v>
      </c>
      <c r="B159" s="1">
        <v>44748</v>
      </c>
      <c r="C159" s="1">
        <f t="shared" si="12"/>
        <v>44719</v>
      </c>
      <c r="D159">
        <v>1779</v>
      </c>
      <c r="E159" t="s">
        <v>19</v>
      </c>
      <c r="F159" t="str">
        <f t="shared" si="15"/>
        <v>Electronics</v>
      </c>
      <c r="G159" t="s">
        <v>21</v>
      </c>
      <c r="H159" t="str">
        <f t="shared" si="16"/>
        <v>North</v>
      </c>
      <c r="I159">
        <v>7</v>
      </c>
      <c r="J159">
        <v>571.07000000000005</v>
      </c>
      <c r="K159">
        <v>0.02</v>
      </c>
      <c r="L159" t="str">
        <f t="shared" si="17"/>
        <v>Cod</v>
      </c>
      <c r="M159" t="s">
        <v>18</v>
      </c>
      <c r="N159">
        <v>10</v>
      </c>
      <c r="O159">
        <v>4.5</v>
      </c>
      <c r="P159">
        <v>3917.54</v>
      </c>
      <c r="Q159">
        <f t="shared" si="13"/>
        <v>3917.54</v>
      </c>
      <c r="R159">
        <f t="shared" si="14"/>
        <v>0</v>
      </c>
    </row>
    <row r="160" spans="1:18" x14ac:dyDescent="0.35">
      <c r="A160">
        <v>10159</v>
      </c>
      <c r="B160" s="1">
        <v>44779</v>
      </c>
      <c r="C160" s="1">
        <f t="shared" si="12"/>
        <v>44720</v>
      </c>
      <c r="D160">
        <v>1929</v>
      </c>
      <c r="E160" t="s">
        <v>19</v>
      </c>
      <c r="F160" t="str">
        <f t="shared" si="15"/>
        <v>Electronics</v>
      </c>
      <c r="G160" t="s">
        <v>21</v>
      </c>
      <c r="H160" t="str">
        <f t="shared" si="16"/>
        <v>North</v>
      </c>
      <c r="I160">
        <v>2</v>
      </c>
      <c r="J160">
        <v>380.86</v>
      </c>
      <c r="K160">
        <v>0.3</v>
      </c>
      <c r="L160" t="str">
        <f t="shared" si="17"/>
        <v>Cod</v>
      </c>
      <c r="M160" t="s">
        <v>18</v>
      </c>
      <c r="N160">
        <v>9</v>
      </c>
      <c r="O160">
        <v>4.0999999999999996</v>
      </c>
      <c r="P160">
        <v>533.20000000000005</v>
      </c>
      <c r="Q160">
        <f t="shared" si="13"/>
        <v>533.20000000000005</v>
      </c>
      <c r="R160">
        <f t="shared" si="14"/>
        <v>0</v>
      </c>
    </row>
    <row r="161" spans="1:18" x14ac:dyDescent="0.35">
      <c r="A161">
        <v>10160</v>
      </c>
      <c r="B161" s="1">
        <v>44810</v>
      </c>
      <c r="C161" s="1">
        <f t="shared" si="12"/>
        <v>44721</v>
      </c>
      <c r="D161">
        <v>1032</v>
      </c>
      <c r="E161" t="s">
        <v>19</v>
      </c>
      <c r="F161" t="str">
        <f t="shared" si="15"/>
        <v>Electronics</v>
      </c>
      <c r="G161" t="s">
        <v>20</v>
      </c>
      <c r="H161" t="str">
        <f t="shared" si="16"/>
        <v>West</v>
      </c>
      <c r="I161">
        <v>4</v>
      </c>
      <c r="J161">
        <v>492.93</v>
      </c>
      <c r="K161">
        <v>0.21</v>
      </c>
      <c r="L161" t="str">
        <f t="shared" si="17"/>
        <v>Cod</v>
      </c>
      <c r="M161" t="s">
        <v>18</v>
      </c>
      <c r="N161">
        <v>2</v>
      </c>
      <c r="O161">
        <v>1.5</v>
      </c>
      <c r="P161">
        <v>1557.66</v>
      </c>
      <c r="Q161">
        <f t="shared" si="13"/>
        <v>1557.66</v>
      </c>
      <c r="R161">
        <f t="shared" si="14"/>
        <v>0</v>
      </c>
    </row>
    <row r="162" spans="1:18" x14ac:dyDescent="0.35">
      <c r="A162">
        <v>10161</v>
      </c>
      <c r="B162" s="1">
        <v>44840</v>
      </c>
      <c r="C162" s="1">
        <f t="shared" si="12"/>
        <v>44722</v>
      </c>
      <c r="D162">
        <v>1047</v>
      </c>
      <c r="E162" t="s">
        <v>15</v>
      </c>
      <c r="F162" t="str">
        <f t="shared" si="15"/>
        <v>Clothing</v>
      </c>
      <c r="G162" t="s">
        <v>13</v>
      </c>
      <c r="H162" t="str">
        <f t="shared" si="16"/>
        <v>South</v>
      </c>
      <c r="I162">
        <v>3</v>
      </c>
      <c r="J162">
        <v>397.33</v>
      </c>
      <c r="K162">
        <v>0.13</v>
      </c>
      <c r="L162" t="str">
        <f t="shared" si="17"/>
        <v>Cod</v>
      </c>
      <c r="M162" t="s">
        <v>18</v>
      </c>
      <c r="N162">
        <v>7</v>
      </c>
      <c r="O162">
        <v>4.7</v>
      </c>
      <c r="P162">
        <v>1037.03</v>
      </c>
      <c r="Q162">
        <f t="shared" si="13"/>
        <v>1037.03</v>
      </c>
      <c r="R162">
        <f t="shared" si="14"/>
        <v>0</v>
      </c>
    </row>
    <row r="163" spans="1:18" x14ac:dyDescent="0.35">
      <c r="A163">
        <v>10162</v>
      </c>
      <c r="B163" s="1">
        <v>44871</v>
      </c>
      <c r="C163" s="1">
        <f t="shared" si="12"/>
        <v>44723</v>
      </c>
      <c r="D163">
        <v>1502</v>
      </c>
      <c r="E163" t="s">
        <v>29</v>
      </c>
      <c r="F163" t="str">
        <f t="shared" si="15"/>
        <v>Home</v>
      </c>
      <c r="G163" t="s">
        <v>20</v>
      </c>
      <c r="H163" t="str">
        <f t="shared" si="16"/>
        <v>West</v>
      </c>
      <c r="I163">
        <v>6</v>
      </c>
      <c r="J163">
        <v>506.03</v>
      </c>
      <c r="K163">
        <v>0.02</v>
      </c>
      <c r="L163" t="str">
        <f t="shared" si="17"/>
        <v>Cod</v>
      </c>
      <c r="M163" t="s">
        <v>18</v>
      </c>
      <c r="N163">
        <v>9</v>
      </c>
      <c r="O163">
        <v>3.7</v>
      </c>
      <c r="P163">
        <v>2975.46</v>
      </c>
      <c r="Q163">
        <f t="shared" si="13"/>
        <v>2975.46</v>
      </c>
      <c r="R163">
        <f t="shared" si="14"/>
        <v>0</v>
      </c>
    </row>
    <row r="164" spans="1:18" x14ac:dyDescent="0.35">
      <c r="A164">
        <v>10163</v>
      </c>
      <c r="B164" s="1">
        <v>44901</v>
      </c>
      <c r="C164" s="1">
        <f t="shared" si="12"/>
        <v>44724</v>
      </c>
      <c r="D164">
        <v>1406</v>
      </c>
      <c r="E164" t="s">
        <v>15</v>
      </c>
      <c r="F164" t="str">
        <f t="shared" si="15"/>
        <v>Clothing</v>
      </c>
      <c r="G164" t="s">
        <v>20</v>
      </c>
      <c r="H164" t="str">
        <f t="shared" si="16"/>
        <v>West</v>
      </c>
      <c r="I164">
        <v>3</v>
      </c>
      <c r="J164">
        <v>567.53</v>
      </c>
      <c r="K164">
        <v>0.24</v>
      </c>
      <c r="L164" t="str">
        <f t="shared" si="17"/>
        <v>Cod</v>
      </c>
      <c r="M164" t="s">
        <v>18</v>
      </c>
      <c r="N164">
        <v>2</v>
      </c>
      <c r="O164">
        <v>1.5</v>
      </c>
      <c r="P164">
        <v>1293.97</v>
      </c>
      <c r="Q164">
        <f t="shared" si="13"/>
        <v>1293.97</v>
      </c>
      <c r="R164">
        <f t="shared" si="14"/>
        <v>0</v>
      </c>
    </row>
    <row r="165" spans="1:18" x14ac:dyDescent="0.35">
      <c r="A165">
        <v>10164</v>
      </c>
      <c r="B165" t="s">
        <v>114</v>
      </c>
      <c r="C165" s="1">
        <f t="shared" si="12"/>
        <v>44725</v>
      </c>
      <c r="D165">
        <v>1573</v>
      </c>
      <c r="E165" t="s">
        <v>19</v>
      </c>
      <c r="F165" t="str">
        <f t="shared" si="15"/>
        <v>Electronics</v>
      </c>
      <c r="G165" t="s">
        <v>13</v>
      </c>
      <c r="H165" t="str">
        <f t="shared" si="16"/>
        <v>South</v>
      </c>
      <c r="I165">
        <v>7</v>
      </c>
      <c r="J165">
        <v>174.66</v>
      </c>
      <c r="K165">
        <v>0.11</v>
      </c>
      <c r="L165" t="str">
        <f t="shared" si="17"/>
        <v>Cod</v>
      </c>
      <c r="M165" t="s">
        <v>18</v>
      </c>
      <c r="N165">
        <v>11</v>
      </c>
      <c r="O165">
        <v>4.0999999999999996</v>
      </c>
      <c r="P165">
        <v>1088.1300000000001</v>
      </c>
      <c r="Q165">
        <f t="shared" si="13"/>
        <v>1088.1300000000001</v>
      </c>
      <c r="R165">
        <f t="shared" si="14"/>
        <v>0</v>
      </c>
    </row>
    <row r="166" spans="1:18" x14ac:dyDescent="0.35">
      <c r="A166">
        <v>10165</v>
      </c>
      <c r="B166" t="s">
        <v>115</v>
      </c>
      <c r="C166" s="1">
        <f t="shared" si="12"/>
        <v>44726</v>
      </c>
      <c r="D166">
        <v>1727</v>
      </c>
      <c r="E166" t="s">
        <v>12</v>
      </c>
      <c r="F166" t="str">
        <f t="shared" si="15"/>
        <v>Beauty</v>
      </c>
      <c r="G166" t="s">
        <v>21</v>
      </c>
      <c r="H166" t="str">
        <f t="shared" si="16"/>
        <v>North</v>
      </c>
      <c r="I166">
        <v>1</v>
      </c>
      <c r="J166">
        <v>114.25</v>
      </c>
      <c r="K166">
        <v>0.16</v>
      </c>
      <c r="L166" t="str">
        <f t="shared" si="17"/>
        <v>Cod</v>
      </c>
      <c r="M166" t="s">
        <v>18</v>
      </c>
      <c r="N166">
        <v>10</v>
      </c>
      <c r="O166">
        <v>2.4</v>
      </c>
      <c r="P166">
        <v>95.97</v>
      </c>
      <c r="Q166">
        <f t="shared" si="13"/>
        <v>95.97</v>
      </c>
      <c r="R166">
        <f t="shared" si="14"/>
        <v>0</v>
      </c>
    </row>
    <row r="167" spans="1:18" x14ac:dyDescent="0.35">
      <c r="A167">
        <v>10166</v>
      </c>
      <c r="B167" t="s">
        <v>116</v>
      </c>
      <c r="C167" s="1">
        <f t="shared" si="12"/>
        <v>44727</v>
      </c>
      <c r="D167">
        <v>1804</v>
      </c>
      <c r="E167" t="s">
        <v>12</v>
      </c>
      <c r="F167" t="str">
        <f t="shared" si="15"/>
        <v>Beauty</v>
      </c>
      <c r="G167" t="s">
        <v>17</v>
      </c>
      <c r="H167" t="str">
        <f t="shared" si="16"/>
        <v>East</v>
      </c>
      <c r="I167">
        <v>4</v>
      </c>
      <c r="J167">
        <v>298.13</v>
      </c>
      <c r="K167">
        <v>0.24</v>
      </c>
      <c r="L167" t="str">
        <f t="shared" si="17"/>
        <v>Wallet</v>
      </c>
      <c r="M167" t="s">
        <v>14</v>
      </c>
      <c r="N167">
        <v>6</v>
      </c>
      <c r="O167">
        <v>4.2</v>
      </c>
      <c r="P167">
        <v>906.32</v>
      </c>
      <c r="Q167">
        <f t="shared" si="13"/>
        <v>906.32</v>
      </c>
      <c r="R167">
        <f t="shared" si="14"/>
        <v>0</v>
      </c>
    </row>
    <row r="168" spans="1:18" x14ac:dyDescent="0.35">
      <c r="A168">
        <v>10167</v>
      </c>
      <c r="B168" t="s">
        <v>117</v>
      </c>
      <c r="C168" s="1">
        <f t="shared" si="12"/>
        <v>44728</v>
      </c>
      <c r="D168">
        <v>1098</v>
      </c>
      <c r="E168" t="s">
        <v>29</v>
      </c>
      <c r="F168" t="str">
        <f t="shared" si="15"/>
        <v>Home</v>
      </c>
      <c r="G168" t="s">
        <v>13</v>
      </c>
      <c r="H168" t="str">
        <f t="shared" si="16"/>
        <v>South</v>
      </c>
      <c r="I168">
        <v>7</v>
      </c>
      <c r="J168">
        <v>425.59</v>
      </c>
      <c r="K168">
        <v>0.32</v>
      </c>
      <c r="L168" t="str">
        <f t="shared" si="17"/>
        <v>Card</v>
      </c>
      <c r="M168" t="s">
        <v>16</v>
      </c>
      <c r="N168">
        <v>9</v>
      </c>
      <c r="O168">
        <v>4.8</v>
      </c>
      <c r="P168">
        <v>2025.81</v>
      </c>
      <c r="Q168">
        <f t="shared" si="13"/>
        <v>2025.81</v>
      </c>
      <c r="R168">
        <f t="shared" si="14"/>
        <v>0</v>
      </c>
    </row>
    <row r="169" spans="1:18" x14ac:dyDescent="0.35">
      <c r="A169">
        <v>10168</v>
      </c>
      <c r="B169" t="s">
        <v>118</v>
      </c>
      <c r="C169" s="1">
        <f t="shared" si="12"/>
        <v>44729</v>
      </c>
      <c r="D169">
        <v>1683</v>
      </c>
      <c r="E169" t="s">
        <v>12</v>
      </c>
      <c r="F169" t="str">
        <f t="shared" si="15"/>
        <v>Beauty</v>
      </c>
      <c r="G169" t="s">
        <v>17</v>
      </c>
      <c r="H169" t="str">
        <f t="shared" si="16"/>
        <v>East</v>
      </c>
      <c r="I169">
        <v>1</v>
      </c>
      <c r="J169">
        <v>147.91</v>
      </c>
      <c r="K169">
        <v>0.28999999999999998</v>
      </c>
      <c r="L169" t="str">
        <f t="shared" si="17"/>
        <v>Cod</v>
      </c>
      <c r="M169" t="s">
        <v>18</v>
      </c>
      <c r="N169">
        <v>3</v>
      </c>
      <c r="O169">
        <v>2</v>
      </c>
      <c r="P169">
        <v>105.02</v>
      </c>
      <c r="Q169">
        <f t="shared" si="13"/>
        <v>105.02</v>
      </c>
      <c r="R169">
        <f t="shared" si="14"/>
        <v>0</v>
      </c>
    </row>
    <row r="170" spans="1:18" x14ac:dyDescent="0.35">
      <c r="A170">
        <v>10169</v>
      </c>
      <c r="B170" t="s">
        <v>119</v>
      </c>
      <c r="C170" s="1">
        <f t="shared" si="12"/>
        <v>44730</v>
      </c>
      <c r="D170">
        <v>1871</v>
      </c>
      <c r="E170" t="s">
        <v>15</v>
      </c>
      <c r="F170" t="str">
        <f t="shared" si="15"/>
        <v>Clothing</v>
      </c>
      <c r="G170" t="s">
        <v>21</v>
      </c>
      <c r="H170" t="str">
        <f t="shared" si="16"/>
        <v>North</v>
      </c>
      <c r="I170">
        <v>2</v>
      </c>
      <c r="J170">
        <v>17.399999999999999</v>
      </c>
      <c r="K170">
        <v>0.16</v>
      </c>
      <c r="L170" t="str">
        <f t="shared" si="17"/>
        <v>Card</v>
      </c>
      <c r="M170" t="s">
        <v>16</v>
      </c>
      <c r="N170">
        <v>8</v>
      </c>
      <c r="O170">
        <v>4.4000000000000004</v>
      </c>
      <c r="P170">
        <v>29.23</v>
      </c>
      <c r="Q170">
        <f t="shared" si="13"/>
        <v>29.23</v>
      </c>
      <c r="R170">
        <f t="shared" si="14"/>
        <v>0</v>
      </c>
    </row>
    <row r="171" spans="1:18" x14ac:dyDescent="0.35">
      <c r="A171">
        <v>10170</v>
      </c>
      <c r="B171" t="s">
        <v>120</v>
      </c>
      <c r="C171" s="1">
        <f t="shared" si="12"/>
        <v>44731</v>
      </c>
      <c r="D171">
        <v>1725</v>
      </c>
      <c r="E171" t="s">
        <v>12</v>
      </c>
      <c r="F171" t="str">
        <f t="shared" si="15"/>
        <v>Beauty</v>
      </c>
      <c r="G171" t="s">
        <v>20</v>
      </c>
      <c r="H171" t="str">
        <f t="shared" si="16"/>
        <v>West</v>
      </c>
      <c r="I171">
        <v>6</v>
      </c>
      <c r="J171">
        <v>215.62</v>
      </c>
      <c r="K171">
        <v>0.14000000000000001</v>
      </c>
      <c r="L171" t="str">
        <f t="shared" si="17"/>
        <v>Card</v>
      </c>
      <c r="M171" t="s">
        <v>16</v>
      </c>
      <c r="N171">
        <v>5</v>
      </c>
      <c r="O171">
        <v>4.0999999999999996</v>
      </c>
      <c r="P171">
        <v>1112.5999999999999</v>
      </c>
      <c r="Q171">
        <f t="shared" si="13"/>
        <v>1112.5999999999999</v>
      </c>
      <c r="R171">
        <f t="shared" si="14"/>
        <v>0</v>
      </c>
    </row>
    <row r="172" spans="1:18" x14ac:dyDescent="0.35">
      <c r="A172">
        <v>10171</v>
      </c>
      <c r="B172" t="s">
        <v>121</v>
      </c>
      <c r="C172" s="1">
        <f t="shared" si="12"/>
        <v>44732</v>
      </c>
      <c r="D172">
        <v>1986</v>
      </c>
      <c r="E172" t="s">
        <v>19</v>
      </c>
      <c r="F172" t="str">
        <f t="shared" si="15"/>
        <v>Electronics</v>
      </c>
      <c r="G172" t="s">
        <v>17</v>
      </c>
      <c r="H172" t="str">
        <f t="shared" si="16"/>
        <v>East</v>
      </c>
      <c r="I172">
        <v>1</v>
      </c>
      <c r="J172">
        <v>581.78</v>
      </c>
      <c r="K172">
        <v>0.08</v>
      </c>
      <c r="L172" t="str">
        <f t="shared" si="17"/>
        <v>Card</v>
      </c>
      <c r="M172" t="s">
        <v>16</v>
      </c>
      <c r="N172">
        <v>7</v>
      </c>
      <c r="O172">
        <v>3.7</v>
      </c>
      <c r="P172">
        <v>535.24</v>
      </c>
      <c r="Q172">
        <f t="shared" si="13"/>
        <v>535.24</v>
      </c>
      <c r="R172">
        <f t="shared" si="14"/>
        <v>0</v>
      </c>
    </row>
    <row r="173" spans="1:18" x14ac:dyDescent="0.35">
      <c r="A173">
        <v>10172</v>
      </c>
      <c r="B173" t="s">
        <v>122</v>
      </c>
      <c r="C173" s="1">
        <f t="shared" si="12"/>
        <v>44733</v>
      </c>
      <c r="D173">
        <v>1546</v>
      </c>
      <c r="E173" t="s">
        <v>15</v>
      </c>
      <c r="F173" t="str">
        <f t="shared" si="15"/>
        <v>Clothing</v>
      </c>
      <c r="G173" t="s">
        <v>21</v>
      </c>
      <c r="H173" t="str">
        <f t="shared" si="16"/>
        <v>North</v>
      </c>
      <c r="I173">
        <v>2</v>
      </c>
      <c r="J173">
        <v>421.56</v>
      </c>
      <c r="K173">
        <v>0.13</v>
      </c>
      <c r="L173" t="str">
        <f t="shared" si="17"/>
        <v>Wallet</v>
      </c>
      <c r="M173" t="s">
        <v>14</v>
      </c>
      <c r="N173">
        <v>3</v>
      </c>
      <c r="O173">
        <v>2.5</v>
      </c>
      <c r="P173">
        <v>733.51</v>
      </c>
      <c r="Q173">
        <f t="shared" si="13"/>
        <v>733.51</v>
      </c>
      <c r="R173">
        <f t="shared" si="14"/>
        <v>0</v>
      </c>
    </row>
    <row r="174" spans="1:18" x14ac:dyDescent="0.35">
      <c r="A174">
        <v>10173</v>
      </c>
      <c r="B174" t="s">
        <v>123</v>
      </c>
      <c r="C174" s="1">
        <f t="shared" si="12"/>
        <v>44734</v>
      </c>
      <c r="D174">
        <v>1960</v>
      </c>
      <c r="E174" t="s">
        <v>19</v>
      </c>
      <c r="F174" t="str">
        <f t="shared" si="15"/>
        <v>Electronics</v>
      </c>
      <c r="G174" t="s">
        <v>21</v>
      </c>
      <c r="H174" t="str">
        <f t="shared" si="16"/>
        <v>North</v>
      </c>
      <c r="I174">
        <v>3</v>
      </c>
      <c r="J174">
        <v>249.78</v>
      </c>
      <c r="K174">
        <v>0.04</v>
      </c>
      <c r="L174" t="str">
        <f t="shared" si="17"/>
        <v>Cod</v>
      </c>
      <c r="M174" t="s">
        <v>18</v>
      </c>
      <c r="N174">
        <v>8</v>
      </c>
      <c r="O174">
        <v>1.4</v>
      </c>
      <c r="P174">
        <v>719.37</v>
      </c>
      <c r="Q174">
        <f t="shared" si="13"/>
        <v>719.37</v>
      </c>
      <c r="R174">
        <f t="shared" si="14"/>
        <v>0</v>
      </c>
    </row>
    <row r="175" spans="1:18" x14ac:dyDescent="0.35">
      <c r="A175">
        <v>10174</v>
      </c>
      <c r="B175" t="s">
        <v>124</v>
      </c>
      <c r="C175" s="1">
        <f t="shared" si="12"/>
        <v>44735</v>
      </c>
      <c r="D175">
        <v>1738</v>
      </c>
      <c r="E175" t="s">
        <v>19</v>
      </c>
      <c r="F175" t="str">
        <f t="shared" si="15"/>
        <v>Electronics</v>
      </c>
      <c r="G175" t="s">
        <v>20</v>
      </c>
      <c r="H175" t="str">
        <f t="shared" si="16"/>
        <v>West</v>
      </c>
      <c r="I175">
        <v>1</v>
      </c>
      <c r="J175">
        <v>127.66</v>
      </c>
      <c r="K175">
        <v>0.34</v>
      </c>
      <c r="L175" t="str">
        <f t="shared" si="17"/>
        <v>Cod</v>
      </c>
      <c r="M175" t="s">
        <v>18</v>
      </c>
      <c r="N175">
        <v>2</v>
      </c>
      <c r="O175">
        <v>2.9</v>
      </c>
      <c r="P175">
        <v>84.26</v>
      </c>
      <c r="Q175">
        <f t="shared" si="13"/>
        <v>84.26</v>
      </c>
      <c r="R175">
        <f t="shared" si="14"/>
        <v>0</v>
      </c>
    </row>
    <row r="176" spans="1:18" x14ac:dyDescent="0.35">
      <c r="A176">
        <v>10175</v>
      </c>
      <c r="B176" t="s">
        <v>125</v>
      </c>
      <c r="C176" s="1">
        <f t="shared" si="12"/>
        <v>44736</v>
      </c>
      <c r="D176">
        <v>1612</v>
      </c>
      <c r="E176" t="s">
        <v>19</v>
      </c>
      <c r="F176" t="str">
        <f t="shared" si="15"/>
        <v>Electronics</v>
      </c>
      <c r="G176" t="s">
        <v>20</v>
      </c>
      <c r="H176" t="str">
        <f t="shared" si="16"/>
        <v>West</v>
      </c>
      <c r="I176">
        <v>1</v>
      </c>
      <c r="J176">
        <v>223.31</v>
      </c>
      <c r="K176">
        <v>0.2</v>
      </c>
      <c r="L176" t="str">
        <f t="shared" si="17"/>
        <v>Card</v>
      </c>
      <c r="M176" t="s">
        <v>16</v>
      </c>
      <c r="N176">
        <v>8</v>
      </c>
      <c r="O176">
        <v>1.4</v>
      </c>
      <c r="P176">
        <v>178.65</v>
      </c>
      <c r="Q176">
        <f t="shared" si="13"/>
        <v>178.65</v>
      </c>
      <c r="R176">
        <f t="shared" si="14"/>
        <v>0</v>
      </c>
    </row>
    <row r="177" spans="1:18" x14ac:dyDescent="0.35">
      <c r="A177">
        <v>10176</v>
      </c>
      <c r="B177" t="s">
        <v>126</v>
      </c>
      <c r="C177" s="1">
        <f t="shared" si="12"/>
        <v>44737</v>
      </c>
      <c r="D177">
        <v>1942</v>
      </c>
      <c r="E177" t="s">
        <v>15</v>
      </c>
      <c r="F177" t="str">
        <f t="shared" si="15"/>
        <v>Clothing</v>
      </c>
      <c r="G177" t="s">
        <v>21</v>
      </c>
      <c r="H177" t="str">
        <f t="shared" si="16"/>
        <v>North</v>
      </c>
      <c r="I177">
        <v>5</v>
      </c>
      <c r="J177">
        <v>114.36</v>
      </c>
      <c r="K177">
        <v>0.04</v>
      </c>
      <c r="L177" t="str">
        <f t="shared" si="17"/>
        <v>Cod</v>
      </c>
      <c r="M177" t="s">
        <v>18</v>
      </c>
      <c r="N177">
        <v>2</v>
      </c>
      <c r="O177">
        <v>3</v>
      </c>
      <c r="P177">
        <v>548.92999999999995</v>
      </c>
      <c r="Q177">
        <f t="shared" si="13"/>
        <v>548.92999999999995</v>
      </c>
      <c r="R177">
        <f t="shared" si="14"/>
        <v>0</v>
      </c>
    </row>
    <row r="178" spans="1:18" x14ac:dyDescent="0.35">
      <c r="A178">
        <v>10177</v>
      </c>
      <c r="B178" t="s">
        <v>127</v>
      </c>
      <c r="C178" s="1">
        <f t="shared" si="12"/>
        <v>44738</v>
      </c>
      <c r="D178">
        <v>1461</v>
      </c>
      <c r="E178" t="s">
        <v>29</v>
      </c>
      <c r="F178" t="str">
        <f t="shared" si="15"/>
        <v>Home</v>
      </c>
      <c r="G178" t="s">
        <v>21</v>
      </c>
      <c r="H178" t="str">
        <f t="shared" si="16"/>
        <v>North</v>
      </c>
      <c r="I178">
        <v>6</v>
      </c>
      <c r="J178">
        <v>77.19</v>
      </c>
      <c r="K178">
        <v>0.12</v>
      </c>
      <c r="L178" t="str">
        <f t="shared" si="17"/>
        <v>Wallet</v>
      </c>
      <c r="M178" t="s">
        <v>14</v>
      </c>
      <c r="N178">
        <v>7</v>
      </c>
      <c r="O178">
        <v>4.3</v>
      </c>
      <c r="P178">
        <v>407.56</v>
      </c>
      <c r="Q178">
        <f t="shared" si="13"/>
        <v>407.56</v>
      </c>
      <c r="R178">
        <f t="shared" si="14"/>
        <v>0</v>
      </c>
    </row>
    <row r="179" spans="1:18" x14ac:dyDescent="0.35">
      <c r="A179">
        <v>10178</v>
      </c>
      <c r="B179" t="s">
        <v>128</v>
      </c>
      <c r="C179" s="1">
        <f t="shared" si="12"/>
        <v>44739</v>
      </c>
      <c r="D179">
        <v>1642</v>
      </c>
      <c r="E179" t="s">
        <v>15</v>
      </c>
      <c r="F179" t="str">
        <f t="shared" si="15"/>
        <v>Clothing</v>
      </c>
      <c r="G179" t="s">
        <v>17</v>
      </c>
      <c r="H179" t="str">
        <f t="shared" si="16"/>
        <v>East</v>
      </c>
      <c r="I179">
        <v>6</v>
      </c>
      <c r="J179">
        <v>545.44000000000005</v>
      </c>
      <c r="K179">
        <v>0.19</v>
      </c>
      <c r="L179" t="str">
        <f t="shared" si="17"/>
        <v>Card</v>
      </c>
      <c r="M179" t="s">
        <v>16</v>
      </c>
      <c r="N179">
        <v>2</v>
      </c>
      <c r="O179">
        <v>5</v>
      </c>
      <c r="P179">
        <v>2650.84</v>
      </c>
      <c r="Q179">
        <f t="shared" si="13"/>
        <v>2650.84</v>
      </c>
      <c r="R179">
        <f t="shared" si="14"/>
        <v>0</v>
      </c>
    </row>
    <row r="180" spans="1:18" x14ac:dyDescent="0.35">
      <c r="A180">
        <v>10179</v>
      </c>
      <c r="B180" t="s">
        <v>129</v>
      </c>
      <c r="C180" s="1">
        <f t="shared" si="12"/>
        <v>44740</v>
      </c>
      <c r="D180">
        <v>1768</v>
      </c>
      <c r="E180" t="s">
        <v>19</v>
      </c>
      <c r="F180" t="str">
        <f t="shared" si="15"/>
        <v>Electronics</v>
      </c>
      <c r="G180" t="s">
        <v>21</v>
      </c>
      <c r="H180" t="str">
        <f t="shared" si="16"/>
        <v>North</v>
      </c>
      <c r="I180">
        <v>7</v>
      </c>
      <c r="J180">
        <v>598.63</v>
      </c>
      <c r="K180">
        <v>0.19</v>
      </c>
      <c r="L180" t="str">
        <f t="shared" si="17"/>
        <v>Card</v>
      </c>
      <c r="M180" t="s">
        <v>16</v>
      </c>
      <c r="N180">
        <v>7</v>
      </c>
      <c r="O180">
        <v>1.8</v>
      </c>
      <c r="P180">
        <v>3394.23</v>
      </c>
      <c r="Q180">
        <f t="shared" si="13"/>
        <v>3394.23</v>
      </c>
      <c r="R180">
        <f t="shared" si="14"/>
        <v>0</v>
      </c>
    </row>
    <row r="181" spans="1:18" x14ac:dyDescent="0.35">
      <c r="A181">
        <v>10180</v>
      </c>
      <c r="B181" t="s">
        <v>130</v>
      </c>
      <c r="C181" s="1">
        <f t="shared" si="12"/>
        <v>44741</v>
      </c>
      <c r="D181">
        <v>1004</v>
      </c>
      <c r="E181" t="s">
        <v>29</v>
      </c>
      <c r="F181" t="str">
        <f t="shared" si="15"/>
        <v>Home</v>
      </c>
      <c r="G181" t="s">
        <v>21</v>
      </c>
      <c r="H181" t="str">
        <f t="shared" si="16"/>
        <v>North</v>
      </c>
      <c r="I181">
        <v>3</v>
      </c>
      <c r="J181">
        <v>111.01</v>
      </c>
      <c r="K181">
        <v>0.01</v>
      </c>
      <c r="L181" t="str">
        <f t="shared" si="17"/>
        <v>Card</v>
      </c>
      <c r="M181" t="s">
        <v>16</v>
      </c>
      <c r="N181">
        <v>1</v>
      </c>
      <c r="O181">
        <v>1.8</v>
      </c>
      <c r="P181">
        <v>329.7</v>
      </c>
      <c r="Q181">
        <f t="shared" si="13"/>
        <v>329.7</v>
      </c>
      <c r="R181">
        <f t="shared" si="14"/>
        <v>0</v>
      </c>
    </row>
    <row r="182" spans="1:18" x14ac:dyDescent="0.35">
      <c r="A182">
        <v>10181</v>
      </c>
      <c r="B182" t="s">
        <v>131</v>
      </c>
      <c r="C182" s="1">
        <f t="shared" si="12"/>
        <v>44742</v>
      </c>
      <c r="D182">
        <v>1217</v>
      </c>
      <c r="E182" t="s">
        <v>15</v>
      </c>
      <c r="F182" t="str">
        <f t="shared" si="15"/>
        <v>Clothing</v>
      </c>
      <c r="G182" t="s">
        <v>17</v>
      </c>
      <c r="H182" t="str">
        <f t="shared" si="16"/>
        <v>East</v>
      </c>
      <c r="I182">
        <v>5</v>
      </c>
      <c r="J182">
        <v>46.9</v>
      </c>
      <c r="K182">
        <v>0.33</v>
      </c>
      <c r="L182" t="str">
        <f t="shared" si="17"/>
        <v>Cod</v>
      </c>
      <c r="M182" t="s">
        <v>18</v>
      </c>
      <c r="N182">
        <v>6</v>
      </c>
      <c r="O182">
        <v>4.2</v>
      </c>
      <c r="P182">
        <v>157.11000000000001</v>
      </c>
      <c r="Q182">
        <f t="shared" si="13"/>
        <v>157.12</v>
      </c>
      <c r="R182">
        <f t="shared" si="14"/>
        <v>-0.01</v>
      </c>
    </row>
    <row r="183" spans="1:18" x14ac:dyDescent="0.35">
      <c r="A183">
        <v>10182</v>
      </c>
      <c r="B183" s="1">
        <v>44568</v>
      </c>
      <c r="C183" s="1">
        <f t="shared" si="12"/>
        <v>44743</v>
      </c>
      <c r="D183">
        <v>1502</v>
      </c>
      <c r="E183" t="s">
        <v>15</v>
      </c>
      <c r="F183" t="str">
        <f t="shared" si="15"/>
        <v>Clothing</v>
      </c>
      <c r="G183" t="s">
        <v>13</v>
      </c>
      <c r="H183" t="str">
        <f t="shared" si="16"/>
        <v>South</v>
      </c>
      <c r="I183">
        <v>7</v>
      </c>
      <c r="J183">
        <v>207.89</v>
      </c>
      <c r="K183">
        <v>0.1</v>
      </c>
      <c r="L183" t="str">
        <f t="shared" si="17"/>
        <v>Cod</v>
      </c>
      <c r="M183" t="s">
        <v>18</v>
      </c>
      <c r="N183">
        <v>10</v>
      </c>
      <c r="O183">
        <v>2.9</v>
      </c>
      <c r="P183">
        <v>1309.71</v>
      </c>
      <c r="Q183">
        <f t="shared" si="13"/>
        <v>1309.71</v>
      </c>
      <c r="R183">
        <f t="shared" si="14"/>
        <v>0</v>
      </c>
    </row>
    <row r="184" spans="1:18" x14ac:dyDescent="0.35">
      <c r="A184">
        <v>10183</v>
      </c>
      <c r="B184" s="1">
        <v>44599</v>
      </c>
      <c r="C184" s="1">
        <f t="shared" si="12"/>
        <v>44744</v>
      </c>
      <c r="D184">
        <v>1766</v>
      </c>
      <c r="E184" t="s">
        <v>29</v>
      </c>
      <c r="F184" t="str">
        <f t="shared" si="15"/>
        <v>Home</v>
      </c>
      <c r="G184" t="s">
        <v>17</v>
      </c>
      <c r="H184" t="str">
        <f t="shared" si="16"/>
        <v>East</v>
      </c>
      <c r="I184">
        <v>2</v>
      </c>
      <c r="J184">
        <v>285.07</v>
      </c>
      <c r="K184">
        <v>0.01</v>
      </c>
      <c r="L184" t="str">
        <f t="shared" si="17"/>
        <v>Cod</v>
      </c>
      <c r="M184" t="s">
        <v>18</v>
      </c>
      <c r="N184">
        <v>7</v>
      </c>
      <c r="O184">
        <v>4.7</v>
      </c>
      <c r="P184">
        <v>564.44000000000005</v>
      </c>
      <c r="Q184">
        <f t="shared" si="13"/>
        <v>564.44000000000005</v>
      </c>
      <c r="R184">
        <f t="shared" si="14"/>
        <v>0</v>
      </c>
    </row>
    <row r="185" spans="1:18" x14ac:dyDescent="0.35">
      <c r="A185">
        <v>10184</v>
      </c>
      <c r="B185" s="1">
        <v>44627</v>
      </c>
      <c r="C185" s="1">
        <f t="shared" si="12"/>
        <v>44745</v>
      </c>
      <c r="D185">
        <v>1397</v>
      </c>
      <c r="E185" t="s">
        <v>19</v>
      </c>
      <c r="F185" t="str">
        <f t="shared" si="15"/>
        <v>Electronics</v>
      </c>
      <c r="G185" t="s">
        <v>17</v>
      </c>
      <c r="H185" t="str">
        <f t="shared" si="16"/>
        <v>East</v>
      </c>
      <c r="I185">
        <v>7</v>
      </c>
      <c r="J185">
        <v>134.82</v>
      </c>
      <c r="K185">
        <v>0.03</v>
      </c>
      <c r="L185" t="str">
        <f t="shared" si="17"/>
        <v>Cod</v>
      </c>
      <c r="M185" t="s">
        <v>18</v>
      </c>
      <c r="N185">
        <v>4</v>
      </c>
      <c r="O185">
        <v>4.0999999999999996</v>
      </c>
      <c r="P185">
        <v>915.43</v>
      </c>
      <c r="Q185">
        <f t="shared" si="13"/>
        <v>915.43</v>
      </c>
      <c r="R185">
        <f t="shared" si="14"/>
        <v>0</v>
      </c>
    </row>
    <row r="186" spans="1:18" x14ac:dyDescent="0.35">
      <c r="A186">
        <v>10185</v>
      </c>
      <c r="B186" s="1">
        <v>44658</v>
      </c>
      <c r="C186" s="1">
        <f t="shared" si="12"/>
        <v>44746</v>
      </c>
      <c r="D186">
        <v>1870</v>
      </c>
      <c r="E186" t="s">
        <v>19</v>
      </c>
      <c r="F186" t="str">
        <f t="shared" si="15"/>
        <v>Electronics</v>
      </c>
      <c r="G186" t="s">
        <v>20</v>
      </c>
      <c r="H186" t="str">
        <f t="shared" si="16"/>
        <v>West</v>
      </c>
      <c r="I186">
        <v>2</v>
      </c>
      <c r="J186">
        <v>191.33</v>
      </c>
      <c r="K186">
        <v>0.2</v>
      </c>
      <c r="L186" t="str">
        <f t="shared" si="17"/>
        <v>Card</v>
      </c>
      <c r="M186" t="s">
        <v>16</v>
      </c>
      <c r="N186">
        <v>11</v>
      </c>
      <c r="O186">
        <v>3.9</v>
      </c>
      <c r="P186">
        <v>306.13</v>
      </c>
      <c r="Q186">
        <f t="shared" si="13"/>
        <v>306.13</v>
      </c>
      <c r="R186">
        <f t="shared" si="14"/>
        <v>0</v>
      </c>
    </row>
    <row r="187" spans="1:18" x14ac:dyDescent="0.35">
      <c r="A187">
        <v>10186</v>
      </c>
      <c r="B187" s="1">
        <v>44688</v>
      </c>
      <c r="C187" s="1">
        <f t="shared" si="12"/>
        <v>44747</v>
      </c>
      <c r="D187">
        <v>1794</v>
      </c>
      <c r="E187" t="s">
        <v>12</v>
      </c>
      <c r="F187" t="str">
        <f t="shared" si="15"/>
        <v>Beauty</v>
      </c>
      <c r="G187" t="s">
        <v>17</v>
      </c>
      <c r="H187" t="str">
        <f t="shared" si="16"/>
        <v>East</v>
      </c>
      <c r="I187">
        <v>3</v>
      </c>
      <c r="J187">
        <v>132.51</v>
      </c>
      <c r="K187">
        <v>0.05</v>
      </c>
      <c r="L187" t="str">
        <f t="shared" si="17"/>
        <v>Cod</v>
      </c>
      <c r="M187" t="s">
        <v>18</v>
      </c>
      <c r="N187">
        <v>11</v>
      </c>
      <c r="O187">
        <v>1.4</v>
      </c>
      <c r="P187">
        <v>377.65</v>
      </c>
      <c r="Q187">
        <f t="shared" si="13"/>
        <v>377.65</v>
      </c>
      <c r="R187">
        <f t="shared" si="14"/>
        <v>0</v>
      </c>
    </row>
    <row r="188" spans="1:18" x14ac:dyDescent="0.35">
      <c r="A188">
        <v>10187</v>
      </c>
      <c r="B188" s="1">
        <v>44719</v>
      </c>
      <c r="C188" s="1">
        <f t="shared" si="12"/>
        <v>44748</v>
      </c>
      <c r="D188">
        <v>1392</v>
      </c>
      <c r="E188" t="s">
        <v>19</v>
      </c>
      <c r="F188" t="str">
        <f t="shared" si="15"/>
        <v>Electronics</v>
      </c>
      <c r="G188" t="s">
        <v>21</v>
      </c>
      <c r="H188" t="str">
        <f t="shared" si="16"/>
        <v>North</v>
      </c>
      <c r="I188">
        <v>6</v>
      </c>
      <c r="J188">
        <v>467.94</v>
      </c>
      <c r="K188">
        <v>0.01</v>
      </c>
      <c r="L188" t="str">
        <f t="shared" si="17"/>
        <v>Card</v>
      </c>
      <c r="M188" t="s">
        <v>16</v>
      </c>
      <c r="N188">
        <v>1</v>
      </c>
      <c r="O188">
        <v>1.1000000000000001</v>
      </c>
      <c r="P188">
        <v>2779.56</v>
      </c>
      <c r="Q188">
        <f t="shared" si="13"/>
        <v>2779.56</v>
      </c>
      <c r="R188">
        <f t="shared" si="14"/>
        <v>0</v>
      </c>
    </row>
    <row r="189" spans="1:18" x14ac:dyDescent="0.35">
      <c r="A189">
        <v>10188</v>
      </c>
      <c r="B189" s="1">
        <v>44749</v>
      </c>
      <c r="C189" s="1">
        <f t="shared" si="12"/>
        <v>44749</v>
      </c>
      <c r="D189">
        <v>1206</v>
      </c>
      <c r="E189" t="s">
        <v>15</v>
      </c>
      <c r="F189" t="str">
        <f t="shared" si="15"/>
        <v>Clothing</v>
      </c>
      <c r="G189" t="s">
        <v>21</v>
      </c>
      <c r="H189" t="str">
        <f t="shared" si="16"/>
        <v>North</v>
      </c>
      <c r="I189">
        <v>2</v>
      </c>
      <c r="J189">
        <v>431.86</v>
      </c>
      <c r="K189">
        <v>0.13</v>
      </c>
      <c r="L189" t="str">
        <f t="shared" si="17"/>
        <v>Card</v>
      </c>
      <c r="M189" t="s">
        <v>16</v>
      </c>
      <c r="N189">
        <v>6</v>
      </c>
      <c r="O189">
        <v>2.2999999999999998</v>
      </c>
      <c r="P189">
        <v>751.44</v>
      </c>
      <c r="Q189">
        <f t="shared" si="13"/>
        <v>751.44</v>
      </c>
      <c r="R189">
        <f t="shared" si="14"/>
        <v>0</v>
      </c>
    </row>
    <row r="190" spans="1:18" x14ac:dyDescent="0.35">
      <c r="A190">
        <v>10189</v>
      </c>
      <c r="B190" s="1">
        <v>44780</v>
      </c>
      <c r="C190" s="1">
        <f t="shared" si="12"/>
        <v>44750</v>
      </c>
      <c r="D190">
        <v>1014</v>
      </c>
      <c r="E190" t="s">
        <v>12</v>
      </c>
      <c r="F190" t="str">
        <f t="shared" si="15"/>
        <v>Beauty</v>
      </c>
      <c r="G190" t="s">
        <v>21</v>
      </c>
      <c r="H190" t="str">
        <f t="shared" si="16"/>
        <v>North</v>
      </c>
      <c r="I190">
        <v>3</v>
      </c>
      <c r="J190">
        <v>386.45</v>
      </c>
      <c r="K190">
        <v>0.22</v>
      </c>
      <c r="L190" t="str">
        <f t="shared" si="17"/>
        <v>Cod</v>
      </c>
      <c r="M190" t="s">
        <v>18</v>
      </c>
      <c r="N190">
        <v>4</v>
      </c>
      <c r="O190">
        <v>1.9</v>
      </c>
      <c r="P190">
        <v>904.29</v>
      </c>
      <c r="Q190">
        <f t="shared" si="13"/>
        <v>904.29</v>
      </c>
      <c r="R190">
        <f t="shared" si="14"/>
        <v>0</v>
      </c>
    </row>
    <row r="191" spans="1:18" x14ac:dyDescent="0.35">
      <c r="A191">
        <v>10190</v>
      </c>
      <c r="B191" s="1">
        <v>44811</v>
      </c>
      <c r="C191" s="1">
        <f t="shared" si="12"/>
        <v>44751</v>
      </c>
      <c r="D191">
        <v>1857</v>
      </c>
      <c r="E191" t="s">
        <v>29</v>
      </c>
      <c r="F191" t="str">
        <f t="shared" si="15"/>
        <v>Home</v>
      </c>
      <c r="G191" t="s">
        <v>13</v>
      </c>
      <c r="H191" t="str">
        <f t="shared" si="16"/>
        <v>South</v>
      </c>
      <c r="I191">
        <v>7</v>
      </c>
      <c r="J191">
        <v>241.52</v>
      </c>
      <c r="K191">
        <v>0.04</v>
      </c>
      <c r="L191" t="str">
        <f t="shared" si="17"/>
        <v>Wallet</v>
      </c>
      <c r="M191" t="s">
        <v>14</v>
      </c>
      <c r="N191">
        <v>3</v>
      </c>
      <c r="O191">
        <v>3.8</v>
      </c>
      <c r="P191">
        <v>1623.01</v>
      </c>
      <c r="Q191">
        <f t="shared" si="13"/>
        <v>1623.01</v>
      </c>
      <c r="R191">
        <f t="shared" si="14"/>
        <v>0</v>
      </c>
    </row>
    <row r="192" spans="1:18" x14ac:dyDescent="0.35">
      <c r="A192">
        <v>10191</v>
      </c>
      <c r="B192" s="1">
        <v>44841</v>
      </c>
      <c r="C192" s="1">
        <f t="shared" si="12"/>
        <v>44752</v>
      </c>
      <c r="D192">
        <v>1553</v>
      </c>
      <c r="E192" t="s">
        <v>19</v>
      </c>
      <c r="F192" t="str">
        <f t="shared" si="15"/>
        <v>Electronics</v>
      </c>
      <c r="G192" t="s">
        <v>21</v>
      </c>
      <c r="H192" t="str">
        <f t="shared" si="16"/>
        <v>North</v>
      </c>
      <c r="I192">
        <v>2</v>
      </c>
      <c r="J192">
        <v>546.79</v>
      </c>
      <c r="K192">
        <v>0.11</v>
      </c>
      <c r="L192" t="str">
        <f t="shared" si="17"/>
        <v>Cod</v>
      </c>
      <c r="M192" t="s">
        <v>18</v>
      </c>
      <c r="N192">
        <v>4</v>
      </c>
      <c r="O192">
        <v>2.8</v>
      </c>
      <c r="P192">
        <v>973.29</v>
      </c>
      <c r="Q192">
        <f t="shared" si="13"/>
        <v>973.29</v>
      </c>
      <c r="R192">
        <f t="shared" si="14"/>
        <v>0</v>
      </c>
    </row>
    <row r="193" spans="1:18" x14ac:dyDescent="0.35">
      <c r="A193">
        <v>10192</v>
      </c>
      <c r="B193" s="1">
        <v>44872</v>
      </c>
      <c r="C193" s="1">
        <f t="shared" si="12"/>
        <v>44753</v>
      </c>
      <c r="D193">
        <v>1891</v>
      </c>
      <c r="E193" t="s">
        <v>19</v>
      </c>
      <c r="F193" t="str">
        <f t="shared" si="15"/>
        <v>Electronics</v>
      </c>
      <c r="G193" t="s">
        <v>13</v>
      </c>
      <c r="H193" t="str">
        <f t="shared" si="16"/>
        <v>South</v>
      </c>
      <c r="I193">
        <v>4</v>
      </c>
      <c r="J193">
        <v>582.17999999999995</v>
      </c>
      <c r="K193">
        <v>0.15</v>
      </c>
      <c r="L193" t="str">
        <f t="shared" si="17"/>
        <v>Cod</v>
      </c>
      <c r="M193" t="s">
        <v>18</v>
      </c>
      <c r="N193">
        <v>6</v>
      </c>
      <c r="O193">
        <v>3.1</v>
      </c>
      <c r="P193">
        <v>1979.41</v>
      </c>
      <c r="Q193">
        <f t="shared" si="13"/>
        <v>1979.41</v>
      </c>
      <c r="R193">
        <f t="shared" si="14"/>
        <v>0</v>
      </c>
    </row>
    <row r="194" spans="1:18" x14ac:dyDescent="0.35">
      <c r="A194">
        <v>10193</v>
      </c>
      <c r="B194" s="1">
        <v>44902</v>
      </c>
      <c r="C194" s="1">
        <f t="shared" ref="C194:C257" si="18">DATE(2022,1,1)+A194-10001</f>
        <v>44754</v>
      </c>
      <c r="D194">
        <v>1460</v>
      </c>
      <c r="E194" t="s">
        <v>19</v>
      </c>
      <c r="F194" t="str">
        <f t="shared" si="15"/>
        <v>Electronics</v>
      </c>
      <c r="G194" t="s">
        <v>21</v>
      </c>
      <c r="H194" t="str">
        <f t="shared" si="16"/>
        <v>North</v>
      </c>
      <c r="I194">
        <v>1</v>
      </c>
      <c r="J194">
        <v>116.58</v>
      </c>
      <c r="K194">
        <v>0.06</v>
      </c>
      <c r="L194" t="str">
        <f t="shared" si="17"/>
        <v>Card</v>
      </c>
      <c r="M194" t="s">
        <v>16</v>
      </c>
      <c r="N194">
        <v>5</v>
      </c>
      <c r="O194">
        <v>4.3</v>
      </c>
      <c r="P194">
        <v>109.59</v>
      </c>
      <c r="Q194">
        <f t="shared" ref="Q194:Q257" si="19">ROUND(I194*J194*(1-K194),2)</f>
        <v>109.59</v>
      </c>
      <c r="R194">
        <f t="shared" ref="R194:R257" si="20">ROUND(P194-Q194,2)</f>
        <v>0</v>
      </c>
    </row>
    <row r="195" spans="1:18" x14ac:dyDescent="0.35">
      <c r="A195">
        <v>10194</v>
      </c>
      <c r="B195" t="s">
        <v>132</v>
      </c>
      <c r="C195" s="1">
        <f t="shared" si="18"/>
        <v>44755</v>
      </c>
      <c r="D195">
        <v>1690</v>
      </c>
      <c r="E195" t="s">
        <v>15</v>
      </c>
      <c r="F195" t="str">
        <f t="shared" ref="F195:F258" si="21">TRIM(PROPER(E195))</f>
        <v>Clothing</v>
      </c>
      <c r="G195" t="s">
        <v>17</v>
      </c>
      <c r="H195" t="str">
        <f t="shared" ref="H195:H258" si="22">TRIM(PROPER(G195))</f>
        <v>East</v>
      </c>
      <c r="I195">
        <v>7</v>
      </c>
      <c r="J195">
        <v>145.46</v>
      </c>
      <c r="K195">
        <v>0.18</v>
      </c>
      <c r="L195" t="str">
        <f t="shared" ref="L195:L258" si="23">TRIM(PROPER(M195))</f>
        <v>Card</v>
      </c>
      <c r="M195" t="s">
        <v>16</v>
      </c>
      <c r="N195">
        <v>2</v>
      </c>
      <c r="O195">
        <v>2.9</v>
      </c>
      <c r="P195">
        <v>834.94</v>
      </c>
      <c r="Q195">
        <f t="shared" si="19"/>
        <v>834.94</v>
      </c>
      <c r="R195">
        <f t="shared" si="20"/>
        <v>0</v>
      </c>
    </row>
    <row r="196" spans="1:18" x14ac:dyDescent="0.35">
      <c r="A196">
        <v>10195</v>
      </c>
      <c r="B196" t="s">
        <v>133</v>
      </c>
      <c r="C196" s="1">
        <f t="shared" si="18"/>
        <v>44756</v>
      </c>
      <c r="D196">
        <v>1574</v>
      </c>
      <c r="E196" t="s">
        <v>15</v>
      </c>
      <c r="F196" t="str">
        <f t="shared" si="21"/>
        <v>Clothing</v>
      </c>
      <c r="G196" t="s">
        <v>20</v>
      </c>
      <c r="H196" t="str">
        <f t="shared" si="22"/>
        <v>West</v>
      </c>
      <c r="I196">
        <v>6</v>
      </c>
      <c r="J196">
        <v>322.49</v>
      </c>
      <c r="K196">
        <v>0.03</v>
      </c>
      <c r="L196" t="str">
        <f t="shared" si="23"/>
        <v>Card</v>
      </c>
      <c r="M196" t="s">
        <v>16</v>
      </c>
      <c r="N196">
        <v>2</v>
      </c>
      <c r="O196">
        <v>3.2</v>
      </c>
      <c r="P196">
        <v>1876.89</v>
      </c>
      <c r="Q196">
        <f t="shared" si="19"/>
        <v>1876.89</v>
      </c>
      <c r="R196">
        <f t="shared" si="20"/>
        <v>0</v>
      </c>
    </row>
    <row r="197" spans="1:18" x14ac:dyDescent="0.35">
      <c r="A197">
        <v>10196</v>
      </c>
      <c r="B197" t="s">
        <v>134</v>
      </c>
      <c r="C197" s="1">
        <f t="shared" si="18"/>
        <v>44757</v>
      </c>
      <c r="D197">
        <v>1863</v>
      </c>
      <c r="E197" t="s">
        <v>19</v>
      </c>
      <c r="F197" t="str">
        <f t="shared" si="21"/>
        <v>Electronics</v>
      </c>
      <c r="G197" t="s">
        <v>21</v>
      </c>
      <c r="H197" t="str">
        <f t="shared" si="22"/>
        <v>North</v>
      </c>
      <c r="I197">
        <v>7</v>
      </c>
      <c r="J197">
        <v>68.38</v>
      </c>
      <c r="K197">
        <v>0.02</v>
      </c>
      <c r="L197" t="str">
        <f t="shared" si="23"/>
        <v>Wallet</v>
      </c>
      <c r="M197" t="s">
        <v>14</v>
      </c>
      <c r="N197">
        <v>3</v>
      </c>
      <c r="O197">
        <v>4.4000000000000004</v>
      </c>
      <c r="P197">
        <v>469.09</v>
      </c>
      <c r="Q197">
        <f t="shared" si="19"/>
        <v>469.09</v>
      </c>
      <c r="R197">
        <f t="shared" si="20"/>
        <v>0</v>
      </c>
    </row>
    <row r="198" spans="1:18" x14ac:dyDescent="0.35">
      <c r="A198">
        <v>10197</v>
      </c>
      <c r="B198" t="s">
        <v>135</v>
      </c>
      <c r="C198" s="1">
        <f t="shared" si="18"/>
        <v>44758</v>
      </c>
      <c r="D198">
        <v>1742</v>
      </c>
      <c r="E198" t="s">
        <v>12</v>
      </c>
      <c r="F198" t="str">
        <f t="shared" si="21"/>
        <v>Beauty</v>
      </c>
      <c r="G198" t="s">
        <v>13</v>
      </c>
      <c r="H198" t="str">
        <f t="shared" si="22"/>
        <v>South</v>
      </c>
      <c r="I198">
        <v>4</v>
      </c>
      <c r="J198">
        <v>270.32</v>
      </c>
      <c r="K198">
        <v>0.18</v>
      </c>
      <c r="L198" t="str">
        <f t="shared" si="23"/>
        <v>Wallet</v>
      </c>
      <c r="M198" t="s">
        <v>14</v>
      </c>
      <c r="N198">
        <v>11</v>
      </c>
      <c r="O198">
        <v>2.7</v>
      </c>
      <c r="P198">
        <v>886.65</v>
      </c>
      <c r="Q198">
        <f t="shared" si="19"/>
        <v>886.65</v>
      </c>
      <c r="R198">
        <f t="shared" si="20"/>
        <v>0</v>
      </c>
    </row>
    <row r="199" spans="1:18" x14ac:dyDescent="0.35">
      <c r="A199">
        <v>10198</v>
      </c>
      <c r="B199" t="s">
        <v>136</v>
      </c>
      <c r="C199" s="1">
        <f t="shared" si="18"/>
        <v>44759</v>
      </c>
      <c r="D199">
        <v>1240</v>
      </c>
      <c r="E199" t="s">
        <v>15</v>
      </c>
      <c r="F199" t="str">
        <f t="shared" si="21"/>
        <v>Clothing</v>
      </c>
      <c r="G199" t="s">
        <v>13</v>
      </c>
      <c r="H199" t="str">
        <f t="shared" si="22"/>
        <v>South</v>
      </c>
      <c r="I199">
        <v>3</v>
      </c>
      <c r="J199">
        <v>355.35</v>
      </c>
      <c r="K199">
        <v>0.09</v>
      </c>
      <c r="L199" t="str">
        <f t="shared" si="23"/>
        <v>Wallet</v>
      </c>
      <c r="M199" t="s">
        <v>14</v>
      </c>
      <c r="N199">
        <v>6</v>
      </c>
      <c r="O199">
        <v>1.3</v>
      </c>
      <c r="P199">
        <v>970.11</v>
      </c>
      <c r="Q199">
        <f t="shared" si="19"/>
        <v>970.11</v>
      </c>
      <c r="R199">
        <f t="shared" si="20"/>
        <v>0</v>
      </c>
    </row>
    <row r="200" spans="1:18" x14ac:dyDescent="0.35">
      <c r="A200">
        <v>10199</v>
      </c>
      <c r="B200" t="s">
        <v>137</v>
      </c>
      <c r="C200" s="1">
        <f t="shared" si="18"/>
        <v>44760</v>
      </c>
      <c r="D200">
        <v>1563</v>
      </c>
      <c r="E200" t="s">
        <v>19</v>
      </c>
      <c r="F200" t="str">
        <f t="shared" si="21"/>
        <v>Electronics</v>
      </c>
      <c r="G200" t="s">
        <v>20</v>
      </c>
      <c r="H200" t="str">
        <f t="shared" si="22"/>
        <v>West</v>
      </c>
      <c r="I200">
        <v>3</v>
      </c>
      <c r="J200">
        <v>320.41000000000003</v>
      </c>
      <c r="K200">
        <v>0.03</v>
      </c>
      <c r="L200" t="str">
        <f t="shared" si="23"/>
        <v>Card</v>
      </c>
      <c r="M200" t="s">
        <v>16</v>
      </c>
      <c r="N200">
        <v>1</v>
      </c>
      <c r="O200">
        <v>3.1</v>
      </c>
      <c r="P200">
        <v>932.39</v>
      </c>
      <c r="Q200">
        <f t="shared" si="19"/>
        <v>932.39</v>
      </c>
      <c r="R200">
        <f t="shared" si="20"/>
        <v>0</v>
      </c>
    </row>
    <row r="201" spans="1:18" x14ac:dyDescent="0.35">
      <c r="A201">
        <v>10200</v>
      </c>
      <c r="B201" t="s">
        <v>138</v>
      </c>
      <c r="C201" s="1">
        <f t="shared" si="18"/>
        <v>44761</v>
      </c>
      <c r="D201">
        <v>1095</v>
      </c>
      <c r="E201" t="s">
        <v>15</v>
      </c>
      <c r="F201" t="str">
        <f t="shared" si="21"/>
        <v>Clothing</v>
      </c>
      <c r="G201" t="s">
        <v>21</v>
      </c>
      <c r="H201" t="str">
        <f t="shared" si="22"/>
        <v>North</v>
      </c>
      <c r="I201">
        <v>7</v>
      </c>
      <c r="J201">
        <v>208.58</v>
      </c>
      <c r="K201">
        <v>0.15</v>
      </c>
      <c r="L201" t="str">
        <f t="shared" si="23"/>
        <v>Cod</v>
      </c>
      <c r="M201" t="s">
        <v>18</v>
      </c>
      <c r="N201">
        <v>11</v>
      </c>
      <c r="O201">
        <v>3.3</v>
      </c>
      <c r="P201">
        <v>1241.05</v>
      </c>
      <c r="Q201">
        <f t="shared" si="19"/>
        <v>1241.05</v>
      </c>
      <c r="R201">
        <f t="shared" si="20"/>
        <v>0</v>
      </c>
    </row>
    <row r="202" spans="1:18" x14ac:dyDescent="0.35">
      <c r="A202">
        <v>10201</v>
      </c>
      <c r="B202" t="s">
        <v>139</v>
      </c>
      <c r="C202" s="1">
        <f t="shared" si="18"/>
        <v>44762</v>
      </c>
      <c r="D202">
        <v>1899</v>
      </c>
      <c r="E202" t="s">
        <v>29</v>
      </c>
      <c r="F202" t="str">
        <f t="shared" si="21"/>
        <v>Home</v>
      </c>
      <c r="G202" t="s">
        <v>17</v>
      </c>
      <c r="H202" t="str">
        <f t="shared" si="22"/>
        <v>East</v>
      </c>
      <c r="I202">
        <v>4</v>
      </c>
      <c r="J202">
        <v>332.33</v>
      </c>
      <c r="K202">
        <v>0.32</v>
      </c>
      <c r="L202" t="str">
        <f t="shared" si="23"/>
        <v>Cod</v>
      </c>
      <c r="M202" t="s">
        <v>18</v>
      </c>
      <c r="N202">
        <v>7</v>
      </c>
      <c r="O202">
        <v>3</v>
      </c>
      <c r="P202">
        <v>903.94</v>
      </c>
      <c r="Q202">
        <f t="shared" si="19"/>
        <v>903.94</v>
      </c>
      <c r="R202">
        <f t="shared" si="20"/>
        <v>0</v>
      </c>
    </row>
    <row r="203" spans="1:18" x14ac:dyDescent="0.35">
      <c r="A203">
        <v>10202</v>
      </c>
      <c r="B203" t="s">
        <v>140</v>
      </c>
      <c r="C203" s="1">
        <f t="shared" si="18"/>
        <v>44763</v>
      </c>
      <c r="D203">
        <v>1733</v>
      </c>
      <c r="E203" t="s">
        <v>19</v>
      </c>
      <c r="F203" t="str">
        <f t="shared" si="21"/>
        <v>Electronics</v>
      </c>
      <c r="G203" t="s">
        <v>21</v>
      </c>
      <c r="H203" t="str">
        <f t="shared" si="22"/>
        <v>North</v>
      </c>
      <c r="I203">
        <v>7</v>
      </c>
      <c r="J203">
        <v>575.9</v>
      </c>
      <c r="K203">
        <v>0.25</v>
      </c>
      <c r="L203" t="str">
        <f t="shared" si="23"/>
        <v>Cod</v>
      </c>
      <c r="M203" t="s">
        <v>18</v>
      </c>
      <c r="N203">
        <v>8</v>
      </c>
      <c r="O203">
        <v>2</v>
      </c>
      <c r="P203">
        <v>3023.48</v>
      </c>
      <c r="Q203">
        <f t="shared" si="19"/>
        <v>3023.48</v>
      </c>
      <c r="R203">
        <f t="shared" si="20"/>
        <v>0</v>
      </c>
    </row>
    <row r="204" spans="1:18" x14ac:dyDescent="0.35">
      <c r="A204">
        <v>10203</v>
      </c>
      <c r="B204" t="s">
        <v>141</v>
      </c>
      <c r="C204" s="1">
        <f t="shared" si="18"/>
        <v>44764</v>
      </c>
      <c r="D204">
        <v>1484</v>
      </c>
      <c r="E204" t="s">
        <v>19</v>
      </c>
      <c r="F204" t="str">
        <f t="shared" si="21"/>
        <v>Electronics</v>
      </c>
      <c r="G204" t="s">
        <v>21</v>
      </c>
      <c r="H204" t="str">
        <f t="shared" si="22"/>
        <v>North</v>
      </c>
      <c r="I204">
        <v>1</v>
      </c>
      <c r="J204">
        <v>135.52000000000001</v>
      </c>
      <c r="K204">
        <v>0.28999999999999998</v>
      </c>
      <c r="L204" t="str">
        <f t="shared" si="23"/>
        <v>Cod</v>
      </c>
      <c r="M204" t="s">
        <v>18</v>
      </c>
      <c r="N204">
        <v>7</v>
      </c>
      <c r="O204">
        <v>1.9</v>
      </c>
      <c r="P204">
        <v>96.22</v>
      </c>
      <c r="Q204">
        <f t="shared" si="19"/>
        <v>96.22</v>
      </c>
      <c r="R204">
        <f t="shared" si="20"/>
        <v>0</v>
      </c>
    </row>
    <row r="205" spans="1:18" x14ac:dyDescent="0.35">
      <c r="A205">
        <v>10204</v>
      </c>
      <c r="B205" t="s">
        <v>142</v>
      </c>
      <c r="C205" s="1">
        <f t="shared" si="18"/>
        <v>44765</v>
      </c>
      <c r="D205">
        <v>1406</v>
      </c>
      <c r="E205" t="s">
        <v>29</v>
      </c>
      <c r="F205" t="str">
        <f t="shared" si="21"/>
        <v>Home</v>
      </c>
      <c r="G205" t="s">
        <v>20</v>
      </c>
      <c r="H205" t="str">
        <f t="shared" si="22"/>
        <v>West</v>
      </c>
      <c r="I205">
        <v>1</v>
      </c>
      <c r="J205">
        <v>398.08</v>
      </c>
      <c r="K205">
        <v>0.31</v>
      </c>
      <c r="L205" t="str">
        <f t="shared" si="23"/>
        <v>Cod</v>
      </c>
      <c r="M205" t="s">
        <v>18</v>
      </c>
      <c r="N205">
        <v>11</v>
      </c>
      <c r="O205">
        <v>2.5</v>
      </c>
      <c r="P205">
        <v>274.68</v>
      </c>
      <c r="Q205">
        <f t="shared" si="19"/>
        <v>274.68</v>
      </c>
      <c r="R205">
        <f t="shared" si="20"/>
        <v>0</v>
      </c>
    </row>
    <row r="206" spans="1:18" x14ac:dyDescent="0.35">
      <c r="A206">
        <v>10205</v>
      </c>
      <c r="B206" t="s">
        <v>143</v>
      </c>
      <c r="C206" s="1">
        <f t="shared" si="18"/>
        <v>44766</v>
      </c>
      <c r="D206">
        <v>1230</v>
      </c>
      <c r="E206" t="s">
        <v>15</v>
      </c>
      <c r="F206" t="str">
        <f t="shared" si="21"/>
        <v>Clothing</v>
      </c>
      <c r="G206" t="s">
        <v>21</v>
      </c>
      <c r="H206" t="str">
        <f t="shared" si="22"/>
        <v>North</v>
      </c>
      <c r="I206">
        <v>5</v>
      </c>
      <c r="J206">
        <v>40.39</v>
      </c>
      <c r="K206">
        <v>0.34</v>
      </c>
      <c r="L206" t="str">
        <f t="shared" si="23"/>
        <v>Card</v>
      </c>
      <c r="M206" t="s">
        <v>16</v>
      </c>
      <c r="N206">
        <v>3</v>
      </c>
      <c r="O206">
        <v>1.7</v>
      </c>
      <c r="P206">
        <v>133.29</v>
      </c>
      <c r="Q206">
        <f t="shared" si="19"/>
        <v>133.29</v>
      </c>
      <c r="R206">
        <f t="shared" si="20"/>
        <v>0</v>
      </c>
    </row>
    <row r="207" spans="1:18" x14ac:dyDescent="0.35">
      <c r="A207">
        <v>10206</v>
      </c>
      <c r="B207" t="s">
        <v>144</v>
      </c>
      <c r="C207" s="1">
        <f t="shared" si="18"/>
        <v>44767</v>
      </c>
      <c r="D207">
        <v>1748</v>
      </c>
      <c r="E207" t="s">
        <v>15</v>
      </c>
      <c r="F207" t="str">
        <f t="shared" si="21"/>
        <v>Clothing</v>
      </c>
      <c r="G207" t="s">
        <v>17</v>
      </c>
      <c r="H207" t="str">
        <f t="shared" si="22"/>
        <v>East</v>
      </c>
      <c r="I207">
        <v>2</v>
      </c>
      <c r="J207">
        <v>53.85</v>
      </c>
      <c r="K207">
        <v>0.27</v>
      </c>
      <c r="L207" t="str">
        <f t="shared" si="23"/>
        <v>Card</v>
      </c>
      <c r="M207" t="s">
        <v>16</v>
      </c>
      <c r="N207">
        <v>6</v>
      </c>
      <c r="O207">
        <v>3.7</v>
      </c>
      <c r="P207">
        <v>78.62</v>
      </c>
      <c r="Q207">
        <f t="shared" si="19"/>
        <v>78.62</v>
      </c>
      <c r="R207">
        <f t="shared" si="20"/>
        <v>0</v>
      </c>
    </row>
    <row r="208" spans="1:18" x14ac:dyDescent="0.35">
      <c r="A208">
        <v>10207</v>
      </c>
      <c r="B208" t="s">
        <v>145</v>
      </c>
      <c r="C208" s="1">
        <f t="shared" si="18"/>
        <v>44768</v>
      </c>
      <c r="D208">
        <v>1654</v>
      </c>
      <c r="E208" t="s">
        <v>15</v>
      </c>
      <c r="F208" t="str">
        <f t="shared" si="21"/>
        <v>Clothing</v>
      </c>
      <c r="G208" t="s">
        <v>13</v>
      </c>
      <c r="H208" t="str">
        <f t="shared" si="22"/>
        <v>South</v>
      </c>
      <c r="I208">
        <v>5</v>
      </c>
      <c r="J208">
        <v>337.82</v>
      </c>
      <c r="K208">
        <v>0.21</v>
      </c>
      <c r="L208" t="str">
        <f t="shared" si="23"/>
        <v>Card</v>
      </c>
      <c r="M208" t="s">
        <v>16</v>
      </c>
      <c r="N208">
        <v>4</v>
      </c>
      <c r="O208">
        <v>3.5</v>
      </c>
      <c r="P208">
        <v>1334.39</v>
      </c>
      <c r="Q208">
        <f t="shared" si="19"/>
        <v>1334.39</v>
      </c>
      <c r="R208">
        <f t="shared" si="20"/>
        <v>0</v>
      </c>
    </row>
    <row r="209" spans="1:18" x14ac:dyDescent="0.35">
      <c r="A209">
        <v>10208</v>
      </c>
      <c r="B209" t="s">
        <v>146</v>
      </c>
      <c r="C209" s="1">
        <f t="shared" si="18"/>
        <v>44769</v>
      </c>
      <c r="D209">
        <v>1170</v>
      </c>
      <c r="E209" t="s">
        <v>19</v>
      </c>
      <c r="F209" t="str">
        <f t="shared" si="21"/>
        <v>Electronics</v>
      </c>
      <c r="G209" t="s">
        <v>20</v>
      </c>
      <c r="H209" t="str">
        <f t="shared" si="22"/>
        <v>West</v>
      </c>
      <c r="I209">
        <v>1</v>
      </c>
      <c r="J209">
        <v>76.39</v>
      </c>
      <c r="K209">
        <v>0.13</v>
      </c>
      <c r="L209" t="str">
        <f t="shared" si="23"/>
        <v>Card</v>
      </c>
      <c r="M209" t="s">
        <v>16</v>
      </c>
      <c r="N209">
        <v>5</v>
      </c>
      <c r="O209">
        <v>3.5</v>
      </c>
      <c r="P209">
        <v>66.459999999999994</v>
      </c>
      <c r="Q209">
        <f t="shared" si="19"/>
        <v>66.459999999999994</v>
      </c>
      <c r="R209">
        <f t="shared" si="20"/>
        <v>0</v>
      </c>
    </row>
    <row r="210" spans="1:18" x14ac:dyDescent="0.35">
      <c r="A210">
        <v>10209</v>
      </c>
      <c r="B210" t="s">
        <v>147</v>
      </c>
      <c r="C210" s="1">
        <f t="shared" si="18"/>
        <v>44770</v>
      </c>
      <c r="D210">
        <v>1540</v>
      </c>
      <c r="E210" t="s">
        <v>19</v>
      </c>
      <c r="F210" t="str">
        <f t="shared" si="21"/>
        <v>Electronics</v>
      </c>
      <c r="G210" t="s">
        <v>17</v>
      </c>
      <c r="H210" t="str">
        <f t="shared" si="22"/>
        <v>East</v>
      </c>
      <c r="I210">
        <v>4</v>
      </c>
      <c r="J210">
        <v>28.07</v>
      </c>
      <c r="K210">
        <v>0.06</v>
      </c>
      <c r="L210" t="str">
        <f t="shared" si="23"/>
        <v>Card</v>
      </c>
      <c r="M210" t="s">
        <v>16</v>
      </c>
      <c r="N210">
        <v>3</v>
      </c>
      <c r="O210">
        <v>1.9</v>
      </c>
      <c r="P210">
        <v>105.54</v>
      </c>
      <c r="Q210">
        <f t="shared" si="19"/>
        <v>105.54</v>
      </c>
      <c r="R210">
        <f t="shared" si="20"/>
        <v>0</v>
      </c>
    </row>
    <row r="211" spans="1:18" x14ac:dyDescent="0.35">
      <c r="A211">
        <v>10210</v>
      </c>
      <c r="B211" t="s">
        <v>148</v>
      </c>
      <c r="C211" s="1">
        <f t="shared" si="18"/>
        <v>44771</v>
      </c>
      <c r="D211">
        <v>1035</v>
      </c>
      <c r="E211" t="s">
        <v>15</v>
      </c>
      <c r="F211" t="str">
        <f t="shared" si="21"/>
        <v>Clothing</v>
      </c>
      <c r="G211" t="s">
        <v>13</v>
      </c>
      <c r="H211" t="str">
        <f t="shared" si="22"/>
        <v>South</v>
      </c>
      <c r="I211">
        <v>2</v>
      </c>
      <c r="J211">
        <v>115.34</v>
      </c>
      <c r="K211">
        <v>0.24</v>
      </c>
      <c r="L211" t="str">
        <f t="shared" si="23"/>
        <v>Card</v>
      </c>
      <c r="M211" t="s">
        <v>16</v>
      </c>
      <c r="N211">
        <v>5</v>
      </c>
      <c r="O211">
        <v>2</v>
      </c>
      <c r="P211">
        <v>175.32</v>
      </c>
      <c r="Q211">
        <f t="shared" si="19"/>
        <v>175.32</v>
      </c>
      <c r="R211">
        <f t="shared" si="20"/>
        <v>0</v>
      </c>
    </row>
    <row r="212" spans="1:18" x14ac:dyDescent="0.35">
      <c r="A212">
        <v>10211</v>
      </c>
      <c r="B212" t="s">
        <v>149</v>
      </c>
      <c r="C212" s="1">
        <f t="shared" si="18"/>
        <v>44772</v>
      </c>
      <c r="D212">
        <v>1524</v>
      </c>
      <c r="E212" t="s">
        <v>19</v>
      </c>
      <c r="F212" t="str">
        <f t="shared" si="21"/>
        <v>Electronics</v>
      </c>
      <c r="G212" t="s">
        <v>20</v>
      </c>
      <c r="H212" t="str">
        <f t="shared" si="22"/>
        <v>West</v>
      </c>
      <c r="I212">
        <v>4</v>
      </c>
      <c r="J212">
        <v>345.44</v>
      </c>
      <c r="K212">
        <v>0.35</v>
      </c>
      <c r="L212" t="str">
        <f t="shared" si="23"/>
        <v>Card</v>
      </c>
      <c r="M212" t="s">
        <v>16</v>
      </c>
      <c r="N212">
        <v>6</v>
      </c>
      <c r="O212">
        <v>4.0999999999999996</v>
      </c>
      <c r="P212">
        <v>898.14</v>
      </c>
      <c r="Q212">
        <f t="shared" si="19"/>
        <v>898.14</v>
      </c>
      <c r="R212">
        <f t="shared" si="20"/>
        <v>0</v>
      </c>
    </row>
    <row r="213" spans="1:18" x14ac:dyDescent="0.35">
      <c r="A213">
        <v>10212</v>
      </c>
      <c r="B213" t="s">
        <v>150</v>
      </c>
      <c r="C213" s="1">
        <f t="shared" si="18"/>
        <v>44773</v>
      </c>
      <c r="D213">
        <v>1159</v>
      </c>
      <c r="E213" t="s">
        <v>19</v>
      </c>
      <c r="F213" t="str">
        <f t="shared" si="21"/>
        <v>Electronics</v>
      </c>
      <c r="G213" t="s">
        <v>20</v>
      </c>
      <c r="H213" t="str">
        <f t="shared" si="22"/>
        <v>West</v>
      </c>
      <c r="I213">
        <v>5</v>
      </c>
      <c r="J213">
        <v>426.45</v>
      </c>
      <c r="K213">
        <v>0.16</v>
      </c>
      <c r="L213" t="str">
        <f t="shared" si="23"/>
        <v>Cod</v>
      </c>
      <c r="M213" t="s">
        <v>18</v>
      </c>
      <c r="N213">
        <v>8</v>
      </c>
      <c r="O213">
        <v>3.8</v>
      </c>
      <c r="P213">
        <v>1791.09</v>
      </c>
      <c r="Q213">
        <f t="shared" si="19"/>
        <v>1791.09</v>
      </c>
      <c r="R213">
        <f t="shared" si="20"/>
        <v>0</v>
      </c>
    </row>
    <row r="214" spans="1:18" x14ac:dyDescent="0.35">
      <c r="A214">
        <v>10213</v>
      </c>
      <c r="B214" s="1">
        <v>44569</v>
      </c>
      <c r="C214" s="1">
        <f t="shared" si="18"/>
        <v>44774</v>
      </c>
      <c r="D214">
        <v>1838</v>
      </c>
      <c r="E214" t="s">
        <v>29</v>
      </c>
      <c r="F214" t="str">
        <f t="shared" si="21"/>
        <v>Home</v>
      </c>
      <c r="G214" t="s">
        <v>13</v>
      </c>
      <c r="H214" t="str">
        <f t="shared" si="22"/>
        <v>South</v>
      </c>
      <c r="I214">
        <v>3</v>
      </c>
      <c r="J214">
        <v>133.44999999999999</v>
      </c>
      <c r="K214">
        <v>0.25</v>
      </c>
      <c r="L214" t="str">
        <f t="shared" si="23"/>
        <v>Wallet</v>
      </c>
      <c r="M214" t="s">
        <v>14</v>
      </c>
      <c r="N214">
        <v>6</v>
      </c>
      <c r="O214">
        <v>4.5</v>
      </c>
      <c r="P214">
        <v>300.26</v>
      </c>
      <c r="Q214">
        <f t="shared" si="19"/>
        <v>300.26</v>
      </c>
      <c r="R214">
        <f t="shared" si="20"/>
        <v>0</v>
      </c>
    </row>
    <row r="215" spans="1:18" x14ac:dyDescent="0.35">
      <c r="A215">
        <v>10214</v>
      </c>
      <c r="B215" s="1">
        <v>44600</v>
      </c>
      <c r="C215" s="1">
        <f t="shared" si="18"/>
        <v>44775</v>
      </c>
      <c r="D215">
        <v>1698</v>
      </c>
      <c r="E215" t="s">
        <v>12</v>
      </c>
      <c r="F215" t="str">
        <f t="shared" si="21"/>
        <v>Beauty</v>
      </c>
      <c r="G215" t="s">
        <v>13</v>
      </c>
      <c r="H215" t="str">
        <f t="shared" si="22"/>
        <v>South</v>
      </c>
      <c r="I215">
        <v>4</v>
      </c>
      <c r="J215">
        <v>405.93</v>
      </c>
      <c r="K215">
        <v>0.17</v>
      </c>
      <c r="L215" t="str">
        <f t="shared" si="23"/>
        <v>Wallet</v>
      </c>
      <c r="M215" t="s">
        <v>14</v>
      </c>
      <c r="N215">
        <v>9</v>
      </c>
      <c r="O215">
        <v>2.6</v>
      </c>
      <c r="P215">
        <v>1347.69</v>
      </c>
      <c r="Q215">
        <f t="shared" si="19"/>
        <v>1347.69</v>
      </c>
      <c r="R215">
        <f t="shared" si="20"/>
        <v>0</v>
      </c>
    </row>
    <row r="216" spans="1:18" x14ac:dyDescent="0.35">
      <c r="A216">
        <v>10215</v>
      </c>
      <c r="B216" s="1">
        <v>44628</v>
      </c>
      <c r="C216" s="1">
        <f t="shared" si="18"/>
        <v>44776</v>
      </c>
      <c r="D216">
        <v>1242</v>
      </c>
      <c r="E216" t="s">
        <v>29</v>
      </c>
      <c r="F216" t="str">
        <f t="shared" si="21"/>
        <v>Home</v>
      </c>
      <c r="G216" t="s">
        <v>17</v>
      </c>
      <c r="H216" t="str">
        <f t="shared" si="22"/>
        <v>East</v>
      </c>
      <c r="I216">
        <v>5</v>
      </c>
      <c r="J216">
        <v>121.75</v>
      </c>
      <c r="K216">
        <v>0.15</v>
      </c>
      <c r="L216" t="str">
        <f t="shared" si="23"/>
        <v>Card</v>
      </c>
      <c r="M216" t="s">
        <v>16</v>
      </c>
      <c r="N216">
        <v>10</v>
      </c>
      <c r="O216">
        <v>3.2</v>
      </c>
      <c r="P216">
        <v>517.44000000000005</v>
      </c>
      <c r="Q216">
        <f t="shared" si="19"/>
        <v>517.44000000000005</v>
      </c>
      <c r="R216">
        <f t="shared" si="20"/>
        <v>0</v>
      </c>
    </row>
    <row r="217" spans="1:18" x14ac:dyDescent="0.35">
      <c r="A217">
        <v>10216</v>
      </c>
      <c r="B217" s="1">
        <v>44659</v>
      </c>
      <c r="C217" s="1">
        <f t="shared" si="18"/>
        <v>44777</v>
      </c>
      <c r="D217">
        <v>1085</v>
      </c>
      <c r="E217" t="s">
        <v>12</v>
      </c>
      <c r="F217" t="str">
        <f t="shared" si="21"/>
        <v>Beauty</v>
      </c>
      <c r="G217" t="s">
        <v>21</v>
      </c>
      <c r="H217" t="str">
        <f t="shared" si="22"/>
        <v>North</v>
      </c>
      <c r="I217">
        <v>5</v>
      </c>
      <c r="J217">
        <v>373.87</v>
      </c>
      <c r="K217">
        <v>0.14000000000000001</v>
      </c>
      <c r="L217" t="str">
        <f t="shared" si="23"/>
        <v>Card</v>
      </c>
      <c r="M217" t="s">
        <v>16</v>
      </c>
      <c r="N217">
        <v>10</v>
      </c>
      <c r="O217">
        <v>4</v>
      </c>
      <c r="P217">
        <v>1607.64</v>
      </c>
      <c r="Q217">
        <f t="shared" si="19"/>
        <v>1607.64</v>
      </c>
      <c r="R217">
        <f t="shared" si="20"/>
        <v>0</v>
      </c>
    </row>
    <row r="218" spans="1:18" x14ac:dyDescent="0.35">
      <c r="A218">
        <v>10217</v>
      </c>
      <c r="B218" s="1">
        <v>44689</v>
      </c>
      <c r="C218" s="1">
        <f t="shared" si="18"/>
        <v>44778</v>
      </c>
      <c r="D218">
        <v>1795</v>
      </c>
      <c r="E218" t="s">
        <v>19</v>
      </c>
      <c r="F218" t="str">
        <f t="shared" si="21"/>
        <v>Electronics</v>
      </c>
      <c r="G218" t="s">
        <v>21</v>
      </c>
      <c r="H218" t="str">
        <f t="shared" si="22"/>
        <v>North</v>
      </c>
      <c r="I218">
        <v>5</v>
      </c>
      <c r="J218">
        <v>256</v>
      </c>
      <c r="K218">
        <v>0.18</v>
      </c>
      <c r="L218" t="str">
        <f t="shared" si="23"/>
        <v>Card</v>
      </c>
      <c r="M218" t="s">
        <v>16</v>
      </c>
      <c r="N218">
        <v>10</v>
      </c>
      <c r="O218">
        <v>4.9000000000000004</v>
      </c>
      <c r="P218">
        <v>1049.5999999999999</v>
      </c>
      <c r="Q218">
        <f t="shared" si="19"/>
        <v>1049.5999999999999</v>
      </c>
      <c r="R218">
        <f t="shared" si="20"/>
        <v>0</v>
      </c>
    </row>
    <row r="219" spans="1:18" x14ac:dyDescent="0.35">
      <c r="A219">
        <v>10218</v>
      </c>
      <c r="B219" s="1">
        <v>44720</v>
      </c>
      <c r="C219" s="1">
        <f t="shared" si="18"/>
        <v>44779</v>
      </c>
      <c r="D219">
        <v>1577</v>
      </c>
      <c r="E219" t="s">
        <v>12</v>
      </c>
      <c r="F219" t="str">
        <f t="shared" si="21"/>
        <v>Beauty</v>
      </c>
      <c r="G219" t="s">
        <v>21</v>
      </c>
      <c r="H219" t="str">
        <f t="shared" si="22"/>
        <v>North</v>
      </c>
      <c r="I219">
        <v>3</v>
      </c>
      <c r="J219">
        <v>397.47</v>
      </c>
      <c r="K219">
        <v>0.13</v>
      </c>
      <c r="L219" t="str">
        <f t="shared" si="23"/>
        <v>Wallet</v>
      </c>
      <c r="M219" t="s">
        <v>14</v>
      </c>
      <c r="N219">
        <v>10</v>
      </c>
      <c r="O219">
        <v>5</v>
      </c>
      <c r="P219">
        <v>1037.4000000000001</v>
      </c>
      <c r="Q219">
        <f t="shared" si="19"/>
        <v>1037.4000000000001</v>
      </c>
      <c r="R219">
        <f t="shared" si="20"/>
        <v>0</v>
      </c>
    </row>
    <row r="220" spans="1:18" x14ac:dyDescent="0.35">
      <c r="A220">
        <v>10219</v>
      </c>
      <c r="B220" s="1">
        <v>44750</v>
      </c>
      <c r="C220" s="1">
        <f t="shared" si="18"/>
        <v>44780</v>
      </c>
      <c r="D220">
        <v>1681</v>
      </c>
      <c r="E220" t="s">
        <v>19</v>
      </c>
      <c r="F220" t="str">
        <f t="shared" si="21"/>
        <v>Electronics</v>
      </c>
      <c r="G220" t="s">
        <v>21</v>
      </c>
      <c r="H220" t="str">
        <f t="shared" si="22"/>
        <v>North</v>
      </c>
      <c r="I220">
        <v>3</v>
      </c>
      <c r="J220">
        <v>597.11</v>
      </c>
      <c r="K220">
        <v>0.26</v>
      </c>
      <c r="L220" t="str">
        <f t="shared" si="23"/>
        <v>Cod</v>
      </c>
      <c r="M220" t="s">
        <v>18</v>
      </c>
      <c r="N220">
        <v>4</v>
      </c>
      <c r="O220">
        <v>5</v>
      </c>
      <c r="P220">
        <v>1325.58</v>
      </c>
      <c r="Q220">
        <f t="shared" si="19"/>
        <v>1325.58</v>
      </c>
      <c r="R220">
        <f t="shared" si="20"/>
        <v>0</v>
      </c>
    </row>
    <row r="221" spans="1:18" x14ac:dyDescent="0.35">
      <c r="A221">
        <v>10220</v>
      </c>
      <c r="B221" s="1">
        <v>44781</v>
      </c>
      <c r="C221" s="1">
        <f t="shared" si="18"/>
        <v>44781</v>
      </c>
      <c r="D221">
        <v>1556</v>
      </c>
      <c r="E221" t="s">
        <v>12</v>
      </c>
      <c r="F221" t="str">
        <f t="shared" si="21"/>
        <v>Beauty</v>
      </c>
      <c r="G221" t="s">
        <v>21</v>
      </c>
      <c r="H221" t="str">
        <f t="shared" si="22"/>
        <v>North</v>
      </c>
      <c r="I221">
        <v>7</v>
      </c>
      <c r="J221">
        <v>563.62</v>
      </c>
      <c r="K221">
        <v>0.31</v>
      </c>
      <c r="L221" t="str">
        <f t="shared" si="23"/>
        <v>Card</v>
      </c>
      <c r="M221" t="s">
        <v>16</v>
      </c>
      <c r="N221">
        <v>2</v>
      </c>
      <c r="O221">
        <v>4.5999999999999996</v>
      </c>
      <c r="P221">
        <v>2722.28</v>
      </c>
      <c r="Q221">
        <f t="shared" si="19"/>
        <v>2722.28</v>
      </c>
      <c r="R221">
        <f t="shared" si="20"/>
        <v>0</v>
      </c>
    </row>
    <row r="222" spans="1:18" x14ac:dyDescent="0.35">
      <c r="A222">
        <v>10221</v>
      </c>
      <c r="B222" s="1">
        <v>44812</v>
      </c>
      <c r="C222" s="1">
        <f t="shared" si="18"/>
        <v>44782</v>
      </c>
      <c r="D222">
        <v>1573</v>
      </c>
      <c r="E222" t="s">
        <v>12</v>
      </c>
      <c r="F222" t="str">
        <f t="shared" si="21"/>
        <v>Beauty</v>
      </c>
      <c r="G222" t="s">
        <v>17</v>
      </c>
      <c r="H222" t="str">
        <f t="shared" si="22"/>
        <v>East</v>
      </c>
      <c r="I222">
        <v>3</v>
      </c>
      <c r="J222">
        <v>17.5</v>
      </c>
      <c r="K222">
        <v>0.31</v>
      </c>
      <c r="L222" t="str">
        <f t="shared" si="23"/>
        <v>Wallet</v>
      </c>
      <c r="M222" t="s">
        <v>14</v>
      </c>
      <c r="N222">
        <v>9</v>
      </c>
      <c r="O222">
        <v>3.6</v>
      </c>
      <c r="P222">
        <v>36.22</v>
      </c>
      <c r="Q222">
        <f t="shared" si="19"/>
        <v>36.229999999999997</v>
      </c>
      <c r="R222">
        <f t="shared" si="20"/>
        <v>-0.01</v>
      </c>
    </row>
    <row r="223" spans="1:18" x14ac:dyDescent="0.35">
      <c r="A223">
        <v>10222</v>
      </c>
      <c r="B223" s="1">
        <v>44842</v>
      </c>
      <c r="C223" s="1">
        <f t="shared" si="18"/>
        <v>44783</v>
      </c>
      <c r="D223">
        <v>1952</v>
      </c>
      <c r="E223" t="s">
        <v>29</v>
      </c>
      <c r="F223" t="str">
        <f t="shared" si="21"/>
        <v>Home</v>
      </c>
      <c r="G223" t="s">
        <v>20</v>
      </c>
      <c r="H223" t="str">
        <f t="shared" si="22"/>
        <v>West</v>
      </c>
      <c r="I223">
        <v>2</v>
      </c>
      <c r="J223">
        <v>532.98</v>
      </c>
      <c r="K223">
        <v>0.08</v>
      </c>
      <c r="L223" t="str">
        <f t="shared" si="23"/>
        <v>Card</v>
      </c>
      <c r="M223" t="s">
        <v>16</v>
      </c>
      <c r="N223">
        <v>11</v>
      </c>
      <c r="O223">
        <v>1</v>
      </c>
      <c r="P223">
        <v>980.68</v>
      </c>
      <c r="Q223">
        <f t="shared" si="19"/>
        <v>980.68</v>
      </c>
      <c r="R223">
        <f t="shared" si="20"/>
        <v>0</v>
      </c>
    </row>
    <row r="224" spans="1:18" x14ac:dyDescent="0.35">
      <c r="A224">
        <v>10223</v>
      </c>
      <c r="B224" s="1">
        <v>44873</v>
      </c>
      <c r="C224" s="1">
        <f t="shared" si="18"/>
        <v>44784</v>
      </c>
      <c r="D224">
        <v>1645</v>
      </c>
      <c r="E224" t="s">
        <v>12</v>
      </c>
      <c r="F224" t="str">
        <f t="shared" si="21"/>
        <v>Beauty</v>
      </c>
      <c r="G224" t="s">
        <v>17</v>
      </c>
      <c r="H224" t="str">
        <f t="shared" si="22"/>
        <v>East</v>
      </c>
      <c r="I224">
        <v>3</v>
      </c>
      <c r="J224">
        <v>53.9</v>
      </c>
      <c r="K224">
        <v>0.31</v>
      </c>
      <c r="L224" t="str">
        <f t="shared" si="23"/>
        <v>Wallet</v>
      </c>
      <c r="M224" t="s">
        <v>14</v>
      </c>
      <c r="N224">
        <v>3</v>
      </c>
      <c r="O224">
        <v>3.8</v>
      </c>
      <c r="P224">
        <v>111.57</v>
      </c>
      <c r="Q224">
        <f t="shared" si="19"/>
        <v>111.57</v>
      </c>
      <c r="R224">
        <f t="shared" si="20"/>
        <v>0</v>
      </c>
    </row>
    <row r="225" spans="1:18" x14ac:dyDescent="0.35">
      <c r="A225">
        <v>10224</v>
      </c>
      <c r="B225" s="1">
        <v>44903</v>
      </c>
      <c r="C225" s="1">
        <f t="shared" si="18"/>
        <v>44785</v>
      </c>
      <c r="D225">
        <v>1795</v>
      </c>
      <c r="E225" t="s">
        <v>15</v>
      </c>
      <c r="F225" t="str">
        <f t="shared" si="21"/>
        <v>Clothing</v>
      </c>
      <c r="G225" t="s">
        <v>17</v>
      </c>
      <c r="H225" t="str">
        <f t="shared" si="22"/>
        <v>East</v>
      </c>
      <c r="I225">
        <v>3</v>
      </c>
      <c r="J225">
        <v>572.53</v>
      </c>
      <c r="K225">
        <v>0.12</v>
      </c>
      <c r="L225" t="str">
        <f t="shared" si="23"/>
        <v>Card</v>
      </c>
      <c r="M225" t="s">
        <v>16</v>
      </c>
      <c r="N225">
        <v>11</v>
      </c>
      <c r="O225">
        <v>2</v>
      </c>
      <c r="P225">
        <v>1511.48</v>
      </c>
      <c r="Q225">
        <f t="shared" si="19"/>
        <v>1511.48</v>
      </c>
      <c r="R225">
        <f t="shared" si="20"/>
        <v>0</v>
      </c>
    </row>
    <row r="226" spans="1:18" x14ac:dyDescent="0.35">
      <c r="A226">
        <v>10225</v>
      </c>
      <c r="B226" t="s">
        <v>151</v>
      </c>
      <c r="C226" s="1">
        <f t="shared" si="18"/>
        <v>44786</v>
      </c>
      <c r="D226">
        <v>1027</v>
      </c>
      <c r="E226" t="s">
        <v>19</v>
      </c>
      <c r="F226" t="str">
        <f t="shared" si="21"/>
        <v>Electronics</v>
      </c>
      <c r="G226" t="s">
        <v>17</v>
      </c>
      <c r="H226" t="str">
        <f t="shared" si="22"/>
        <v>East</v>
      </c>
      <c r="I226">
        <v>3</v>
      </c>
      <c r="J226">
        <v>179.87</v>
      </c>
      <c r="K226">
        <v>0.11</v>
      </c>
      <c r="L226" t="str">
        <f t="shared" si="23"/>
        <v>Card</v>
      </c>
      <c r="M226" t="s">
        <v>16</v>
      </c>
      <c r="N226">
        <v>7</v>
      </c>
      <c r="O226">
        <v>1.2</v>
      </c>
      <c r="P226">
        <v>480.25</v>
      </c>
      <c r="Q226">
        <f t="shared" si="19"/>
        <v>480.25</v>
      </c>
      <c r="R226">
        <f t="shared" si="20"/>
        <v>0</v>
      </c>
    </row>
    <row r="227" spans="1:18" x14ac:dyDescent="0.35">
      <c r="A227">
        <v>10226</v>
      </c>
      <c r="B227" t="s">
        <v>152</v>
      </c>
      <c r="C227" s="1">
        <f t="shared" si="18"/>
        <v>44787</v>
      </c>
      <c r="D227">
        <v>1619</v>
      </c>
      <c r="E227" t="s">
        <v>15</v>
      </c>
      <c r="F227" t="str">
        <f t="shared" si="21"/>
        <v>Clothing</v>
      </c>
      <c r="G227" t="s">
        <v>20</v>
      </c>
      <c r="H227" t="str">
        <f t="shared" si="22"/>
        <v>West</v>
      </c>
      <c r="I227">
        <v>4</v>
      </c>
      <c r="J227">
        <v>238.49</v>
      </c>
      <c r="K227">
        <v>0.25</v>
      </c>
      <c r="L227" t="str">
        <f t="shared" si="23"/>
        <v>Cod</v>
      </c>
      <c r="M227" t="s">
        <v>18</v>
      </c>
      <c r="N227">
        <v>4</v>
      </c>
      <c r="O227">
        <v>3.8</v>
      </c>
      <c r="P227">
        <v>715.47</v>
      </c>
      <c r="Q227">
        <f t="shared" si="19"/>
        <v>715.47</v>
      </c>
      <c r="R227">
        <f t="shared" si="20"/>
        <v>0</v>
      </c>
    </row>
    <row r="228" spans="1:18" x14ac:dyDescent="0.35">
      <c r="A228">
        <v>10227</v>
      </c>
      <c r="B228" t="s">
        <v>153</v>
      </c>
      <c r="C228" s="1">
        <f t="shared" si="18"/>
        <v>44788</v>
      </c>
      <c r="D228">
        <v>1555</v>
      </c>
      <c r="E228" t="s">
        <v>15</v>
      </c>
      <c r="F228" t="str">
        <f t="shared" si="21"/>
        <v>Clothing</v>
      </c>
      <c r="G228" t="s">
        <v>17</v>
      </c>
      <c r="H228" t="str">
        <f t="shared" si="22"/>
        <v>East</v>
      </c>
      <c r="I228">
        <v>3</v>
      </c>
      <c r="J228">
        <v>68.61</v>
      </c>
      <c r="K228">
        <v>0.11</v>
      </c>
      <c r="L228" t="str">
        <f t="shared" si="23"/>
        <v>Wallet</v>
      </c>
      <c r="M228" t="s">
        <v>14</v>
      </c>
      <c r="N228">
        <v>1</v>
      </c>
      <c r="O228">
        <v>4</v>
      </c>
      <c r="P228">
        <v>183.19</v>
      </c>
      <c r="Q228">
        <f t="shared" si="19"/>
        <v>183.19</v>
      </c>
      <c r="R228">
        <f t="shared" si="20"/>
        <v>0</v>
      </c>
    </row>
    <row r="229" spans="1:18" x14ac:dyDescent="0.35">
      <c r="A229">
        <v>10228</v>
      </c>
      <c r="B229" t="s">
        <v>154</v>
      </c>
      <c r="C229" s="1">
        <f t="shared" si="18"/>
        <v>44789</v>
      </c>
      <c r="D229">
        <v>1339</v>
      </c>
      <c r="E229" t="s">
        <v>19</v>
      </c>
      <c r="F229" t="str">
        <f t="shared" si="21"/>
        <v>Electronics</v>
      </c>
      <c r="G229" t="s">
        <v>17</v>
      </c>
      <c r="H229" t="str">
        <f t="shared" si="22"/>
        <v>East</v>
      </c>
      <c r="I229">
        <v>2</v>
      </c>
      <c r="J229">
        <v>80.680000000000007</v>
      </c>
      <c r="K229">
        <v>0.02</v>
      </c>
      <c r="L229" t="str">
        <f t="shared" si="23"/>
        <v>Wallet</v>
      </c>
      <c r="M229" t="s">
        <v>14</v>
      </c>
      <c r="N229">
        <v>8</v>
      </c>
      <c r="O229">
        <v>3.6</v>
      </c>
      <c r="P229">
        <v>158.13</v>
      </c>
      <c r="Q229">
        <f t="shared" si="19"/>
        <v>158.13</v>
      </c>
      <c r="R229">
        <f t="shared" si="20"/>
        <v>0</v>
      </c>
    </row>
    <row r="230" spans="1:18" x14ac:dyDescent="0.35">
      <c r="A230">
        <v>10229</v>
      </c>
      <c r="B230" t="s">
        <v>155</v>
      </c>
      <c r="C230" s="1">
        <f t="shared" si="18"/>
        <v>44790</v>
      </c>
      <c r="D230">
        <v>1797</v>
      </c>
      <c r="E230" t="s">
        <v>15</v>
      </c>
      <c r="F230" t="str">
        <f t="shared" si="21"/>
        <v>Clothing</v>
      </c>
      <c r="G230" t="s">
        <v>20</v>
      </c>
      <c r="H230" t="str">
        <f t="shared" si="22"/>
        <v>West</v>
      </c>
      <c r="I230">
        <v>5</v>
      </c>
      <c r="J230">
        <v>440.14</v>
      </c>
      <c r="K230">
        <v>0.13</v>
      </c>
      <c r="L230" t="str">
        <f t="shared" si="23"/>
        <v>Cod</v>
      </c>
      <c r="M230" t="s">
        <v>18</v>
      </c>
      <c r="N230">
        <v>4</v>
      </c>
      <c r="O230">
        <v>2.5</v>
      </c>
      <c r="P230">
        <v>1914.61</v>
      </c>
      <c r="Q230">
        <f t="shared" si="19"/>
        <v>1914.61</v>
      </c>
      <c r="R230">
        <f t="shared" si="20"/>
        <v>0</v>
      </c>
    </row>
    <row r="231" spans="1:18" x14ac:dyDescent="0.35">
      <c r="A231">
        <v>10230</v>
      </c>
      <c r="B231" t="s">
        <v>156</v>
      </c>
      <c r="C231" s="1">
        <f t="shared" si="18"/>
        <v>44791</v>
      </c>
      <c r="D231">
        <v>1957</v>
      </c>
      <c r="E231" t="s">
        <v>12</v>
      </c>
      <c r="F231" t="str">
        <f t="shared" si="21"/>
        <v>Beauty</v>
      </c>
      <c r="G231" t="s">
        <v>17</v>
      </c>
      <c r="H231" t="str">
        <f t="shared" si="22"/>
        <v>East</v>
      </c>
      <c r="I231">
        <v>4</v>
      </c>
      <c r="J231">
        <v>567.42999999999995</v>
      </c>
      <c r="K231">
        <v>0.25</v>
      </c>
      <c r="L231" t="str">
        <f t="shared" si="23"/>
        <v>Card</v>
      </c>
      <c r="M231" t="s">
        <v>16</v>
      </c>
      <c r="N231">
        <v>11</v>
      </c>
      <c r="O231">
        <v>3</v>
      </c>
      <c r="P231">
        <v>1702.29</v>
      </c>
      <c r="Q231">
        <f t="shared" si="19"/>
        <v>1702.29</v>
      </c>
      <c r="R231">
        <f t="shared" si="20"/>
        <v>0</v>
      </c>
    </row>
    <row r="232" spans="1:18" x14ac:dyDescent="0.35">
      <c r="A232">
        <v>10231</v>
      </c>
      <c r="B232" t="s">
        <v>157</v>
      </c>
      <c r="C232" s="1">
        <f t="shared" si="18"/>
        <v>44792</v>
      </c>
      <c r="D232">
        <v>1330</v>
      </c>
      <c r="E232" t="s">
        <v>19</v>
      </c>
      <c r="F232" t="str">
        <f t="shared" si="21"/>
        <v>Electronics</v>
      </c>
      <c r="G232" t="s">
        <v>21</v>
      </c>
      <c r="H232" t="str">
        <f t="shared" si="22"/>
        <v>North</v>
      </c>
      <c r="I232">
        <v>1</v>
      </c>
      <c r="J232">
        <v>372.29</v>
      </c>
      <c r="K232">
        <v>0.11</v>
      </c>
      <c r="L232" t="str">
        <f t="shared" si="23"/>
        <v>Card</v>
      </c>
      <c r="M232" t="s">
        <v>16</v>
      </c>
      <c r="N232">
        <v>6</v>
      </c>
      <c r="O232">
        <v>4.7</v>
      </c>
      <c r="P232">
        <v>331.34</v>
      </c>
      <c r="Q232">
        <f t="shared" si="19"/>
        <v>331.34</v>
      </c>
      <c r="R232">
        <f t="shared" si="20"/>
        <v>0</v>
      </c>
    </row>
    <row r="233" spans="1:18" x14ac:dyDescent="0.35">
      <c r="A233">
        <v>10232</v>
      </c>
      <c r="B233" t="s">
        <v>158</v>
      </c>
      <c r="C233" s="1">
        <f t="shared" si="18"/>
        <v>44793</v>
      </c>
      <c r="D233">
        <v>1639</v>
      </c>
      <c r="E233" t="s">
        <v>29</v>
      </c>
      <c r="F233" t="str">
        <f t="shared" si="21"/>
        <v>Home</v>
      </c>
      <c r="G233" t="s">
        <v>13</v>
      </c>
      <c r="H233" t="str">
        <f t="shared" si="22"/>
        <v>South</v>
      </c>
      <c r="I233">
        <v>3</v>
      </c>
      <c r="J233">
        <v>433.77</v>
      </c>
      <c r="K233">
        <v>0.22</v>
      </c>
      <c r="L233" t="str">
        <f t="shared" si="23"/>
        <v>Wallet</v>
      </c>
      <c r="M233" t="s">
        <v>14</v>
      </c>
      <c r="N233">
        <v>7</v>
      </c>
      <c r="O233">
        <v>3.9</v>
      </c>
      <c r="P233">
        <v>1015.02</v>
      </c>
      <c r="Q233">
        <f t="shared" si="19"/>
        <v>1015.02</v>
      </c>
      <c r="R233">
        <f t="shared" si="20"/>
        <v>0</v>
      </c>
    </row>
    <row r="234" spans="1:18" x14ac:dyDescent="0.35">
      <c r="A234">
        <v>10233</v>
      </c>
      <c r="B234" t="s">
        <v>159</v>
      </c>
      <c r="C234" s="1">
        <f t="shared" si="18"/>
        <v>44794</v>
      </c>
      <c r="D234">
        <v>1505</v>
      </c>
      <c r="E234" t="s">
        <v>12</v>
      </c>
      <c r="F234" t="str">
        <f t="shared" si="21"/>
        <v>Beauty</v>
      </c>
      <c r="G234" t="s">
        <v>17</v>
      </c>
      <c r="H234" t="str">
        <f t="shared" si="22"/>
        <v>East</v>
      </c>
      <c r="I234">
        <v>7</v>
      </c>
      <c r="J234">
        <v>460.75</v>
      </c>
      <c r="K234">
        <v>0.23</v>
      </c>
      <c r="L234" t="str">
        <f t="shared" si="23"/>
        <v>Cod</v>
      </c>
      <c r="M234" t="s">
        <v>18</v>
      </c>
      <c r="N234">
        <v>8</v>
      </c>
      <c r="O234">
        <v>3</v>
      </c>
      <c r="P234">
        <v>2483.44</v>
      </c>
      <c r="Q234">
        <f t="shared" si="19"/>
        <v>2483.44</v>
      </c>
      <c r="R234">
        <f t="shared" si="20"/>
        <v>0</v>
      </c>
    </row>
    <row r="235" spans="1:18" x14ac:dyDescent="0.35">
      <c r="A235">
        <v>10234</v>
      </c>
      <c r="B235" t="s">
        <v>160</v>
      </c>
      <c r="C235" s="1">
        <f t="shared" si="18"/>
        <v>44795</v>
      </c>
      <c r="D235">
        <v>1347</v>
      </c>
      <c r="E235" t="s">
        <v>12</v>
      </c>
      <c r="F235" t="str">
        <f t="shared" si="21"/>
        <v>Beauty</v>
      </c>
      <c r="G235" t="s">
        <v>13</v>
      </c>
      <c r="H235" t="str">
        <f t="shared" si="22"/>
        <v>South</v>
      </c>
      <c r="I235">
        <v>7</v>
      </c>
      <c r="J235">
        <v>168.75</v>
      </c>
      <c r="K235">
        <v>0.26</v>
      </c>
      <c r="L235" t="str">
        <f t="shared" si="23"/>
        <v>Cod</v>
      </c>
      <c r="M235" t="s">
        <v>18</v>
      </c>
      <c r="N235">
        <v>10</v>
      </c>
      <c r="O235">
        <v>3.4</v>
      </c>
      <c r="P235">
        <v>874.12</v>
      </c>
      <c r="Q235">
        <f t="shared" si="19"/>
        <v>874.13</v>
      </c>
      <c r="R235">
        <f t="shared" si="20"/>
        <v>-0.01</v>
      </c>
    </row>
    <row r="236" spans="1:18" x14ac:dyDescent="0.35">
      <c r="A236">
        <v>10235</v>
      </c>
      <c r="B236" t="s">
        <v>161</v>
      </c>
      <c r="C236" s="1">
        <f t="shared" si="18"/>
        <v>44796</v>
      </c>
      <c r="D236">
        <v>1472</v>
      </c>
      <c r="E236" t="s">
        <v>12</v>
      </c>
      <c r="F236" t="str">
        <f t="shared" si="21"/>
        <v>Beauty</v>
      </c>
      <c r="G236" t="s">
        <v>17</v>
      </c>
      <c r="H236" t="str">
        <f t="shared" si="22"/>
        <v>East</v>
      </c>
      <c r="I236">
        <v>5</v>
      </c>
      <c r="J236">
        <v>41.46</v>
      </c>
      <c r="K236">
        <v>0.31</v>
      </c>
      <c r="L236" t="str">
        <f t="shared" si="23"/>
        <v>Card</v>
      </c>
      <c r="M236" t="s">
        <v>16</v>
      </c>
      <c r="N236">
        <v>2</v>
      </c>
      <c r="O236">
        <v>4.7</v>
      </c>
      <c r="P236">
        <v>143.04</v>
      </c>
      <c r="Q236">
        <f t="shared" si="19"/>
        <v>143.04</v>
      </c>
      <c r="R236">
        <f t="shared" si="20"/>
        <v>0</v>
      </c>
    </row>
    <row r="237" spans="1:18" x14ac:dyDescent="0.35">
      <c r="A237">
        <v>10236</v>
      </c>
      <c r="B237" t="s">
        <v>162</v>
      </c>
      <c r="C237" s="1">
        <f t="shared" si="18"/>
        <v>44797</v>
      </c>
      <c r="D237">
        <v>1230</v>
      </c>
      <c r="E237" t="s">
        <v>15</v>
      </c>
      <c r="F237" t="str">
        <f t="shared" si="21"/>
        <v>Clothing</v>
      </c>
      <c r="G237" t="s">
        <v>17</v>
      </c>
      <c r="H237" t="str">
        <f t="shared" si="22"/>
        <v>East</v>
      </c>
      <c r="I237">
        <v>5</v>
      </c>
      <c r="J237">
        <v>16.100000000000001</v>
      </c>
      <c r="K237">
        <v>0.15</v>
      </c>
      <c r="L237" t="str">
        <f t="shared" si="23"/>
        <v>Cod</v>
      </c>
      <c r="M237" t="s">
        <v>18</v>
      </c>
      <c r="N237">
        <v>9</v>
      </c>
      <c r="O237">
        <v>2.6</v>
      </c>
      <c r="P237">
        <v>68.42</v>
      </c>
      <c r="Q237">
        <f t="shared" si="19"/>
        <v>68.430000000000007</v>
      </c>
      <c r="R237">
        <f t="shared" si="20"/>
        <v>-0.01</v>
      </c>
    </row>
    <row r="238" spans="1:18" x14ac:dyDescent="0.35">
      <c r="A238">
        <v>10237</v>
      </c>
      <c r="B238" t="s">
        <v>163</v>
      </c>
      <c r="C238" s="1">
        <f t="shared" si="18"/>
        <v>44798</v>
      </c>
      <c r="D238">
        <v>1189</v>
      </c>
      <c r="E238" t="s">
        <v>12</v>
      </c>
      <c r="F238" t="str">
        <f t="shared" si="21"/>
        <v>Beauty</v>
      </c>
      <c r="G238" t="s">
        <v>21</v>
      </c>
      <c r="H238" t="str">
        <f t="shared" si="22"/>
        <v>North</v>
      </c>
      <c r="I238">
        <v>4</v>
      </c>
      <c r="J238">
        <v>220.13</v>
      </c>
      <c r="K238">
        <v>0.06</v>
      </c>
      <c r="L238" t="str">
        <f t="shared" si="23"/>
        <v>Card</v>
      </c>
      <c r="M238" t="s">
        <v>16</v>
      </c>
      <c r="N238">
        <v>10</v>
      </c>
      <c r="O238">
        <v>1.4</v>
      </c>
      <c r="P238">
        <v>827.69</v>
      </c>
      <c r="Q238">
        <f t="shared" si="19"/>
        <v>827.69</v>
      </c>
      <c r="R238">
        <f t="shared" si="20"/>
        <v>0</v>
      </c>
    </row>
    <row r="239" spans="1:18" x14ac:dyDescent="0.35">
      <c r="A239">
        <v>10238</v>
      </c>
      <c r="B239" t="s">
        <v>164</v>
      </c>
      <c r="C239" s="1">
        <f t="shared" si="18"/>
        <v>44799</v>
      </c>
      <c r="D239">
        <v>1224</v>
      </c>
      <c r="E239" t="s">
        <v>29</v>
      </c>
      <c r="F239" t="str">
        <f t="shared" si="21"/>
        <v>Home</v>
      </c>
      <c r="G239" t="s">
        <v>20</v>
      </c>
      <c r="H239" t="str">
        <f t="shared" si="22"/>
        <v>West</v>
      </c>
      <c r="I239">
        <v>7</v>
      </c>
      <c r="J239">
        <v>156.26</v>
      </c>
      <c r="K239">
        <v>0.11</v>
      </c>
      <c r="L239" t="str">
        <f t="shared" si="23"/>
        <v>Cod</v>
      </c>
      <c r="M239" t="s">
        <v>18</v>
      </c>
      <c r="N239">
        <v>3</v>
      </c>
      <c r="O239">
        <v>2.2999999999999998</v>
      </c>
      <c r="P239">
        <v>973.5</v>
      </c>
      <c r="Q239">
        <f t="shared" si="19"/>
        <v>973.5</v>
      </c>
      <c r="R239">
        <f t="shared" si="20"/>
        <v>0</v>
      </c>
    </row>
    <row r="240" spans="1:18" x14ac:dyDescent="0.35">
      <c r="A240">
        <v>10239</v>
      </c>
      <c r="B240" t="s">
        <v>165</v>
      </c>
      <c r="C240" s="1">
        <f t="shared" si="18"/>
        <v>44800</v>
      </c>
      <c r="D240">
        <v>1384</v>
      </c>
      <c r="E240" t="s">
        <v>19</v>
      </c>
      <c r="F240" t="str">
        <f t="shared" si="21"/>
        <v>Electronics</v>
      </c>
      <c r="G240" t="s">
        <v>13</v>
      </c>
      <c r="H240" t="str">
        <f t="shared" si="22"/>
        <v>South</v>
      </c>
      <c r="I240">
        <v>1</v>
      </c>
      <c r="J240">
        <v>51.46</v>
      </c>
      <c r="K240">
        <v>0.15</v>
      </c>
      <c r="L240" t="str">
        <f t="shared" si="23"/>
        <v>Wallet</v>
      </c>
      <c r="M240" t="s">
        <v>14</v>
      </c>
      <c r="N240">
        <v>1</v>
      </c>
      <c r="O240">
        <v>2.7</v>
      </c>
      <c r="P240">
        <v>43.74</v>
      </c>
      <c r="Q240">
        <f t="shared" si="19"/>
        <v>43.74</v>
      </c>
      <c r="R240">
        <f t="shared" si="20"/>
        <v>0</v>
      </c>
    </row>
    <row r="241" spans="1:18" x14ac:dyDescent="0.35">
      <c r="A241">
        <v>10240</v>
      </c>
      <c r="B241" t="s">
        <v>166</v>
      </c>
      <c r="C241" s="1">
        <f t="shared" si="18"/>
        <v>44801</v>
      </c>
      <c r="D241">
        <v>1376</v>
      </c>
      <c r="E241" t="s">
        <v>15</v>
      </c>
      <c r="F241" t="str">
        <f t="shared" si="21"/>
        <v>Clothing</v>
      </c>
      <c r="G241" t="s">
        <v>20</v>
      </c>
      <c r="H241" t="str">
        <f t="shared" si="22"/>
        <v>West</v>
      </c>
      <c r="I241">
        <v>6</v>
      </c>
      <c r="J241">
        <v>120.02</v>
      </c>
      <c r="K241">
        <v>0.25</v>
      </c>
      <c r="L241" t="str">
        <f t="shared" si="23"/>
        <v>Cod</v>
      </c>
      <c r="M241" t="s">
        <v>18</v>
      </c>
      <c r="N241">
        <v>2</v>
      </c>
      <c r="O241">
        <v>2.1</v>
      </c>
      <c r="P241">
        <v>540.09</v>
      </c>
      <c r="Q241">
        <f t="shared" si="19"/>
        <v>540.09</v>
      </c>
      <c r="R241">
        <f t="shared" si="20"/>
        <v>0</v>
      </c>
    </row>
    <row r="242" spans="1:18" x14ac:dyDescent="0.35">
      <c r="A242">
        <v>10241</v>
      </c>
      <c r="B242" t="s">
        <v>167</v>
      </c>
      <c r="C242" s="1">
        <f t="shared" si="18"/>
        <v>44802</v>
      </c>
      <c r="D242">
        <v>1282</v>
      </c>
      <c r="E242" t="s">
        <v>29</v>
      </c>
      <c r="F242" t="str">
        <f t="shared" si="21"/>
        <v>Home</v>
      </c>
      <c r="G242" t="s">
        <v>21</v>
      </c>
      <c r="H242" t="str">
        <f t="shared" si="22"/>
        <v>North</v>
      </c>
      <c r="I242">
        <v>7</v>
      </c>
      <c r="J242">
        <v>87.83</v>
      </c>
      <c r="K242">
        <v>0</v>
      </c>
      <c r="L242" t="str">
        <f t="shared" si="23"/>
        <v>Cod</v>
      </c>
      <c r="M242" t="s">
        <v>18</v>
      </c>
      <c r="N242">
        <v>8</v>
      </c>
      <c r="O242">
        <v>3.1</v>
      </c>
      <c r="P242">
        <v>614.80999999999995</v>
      </c>
      <c r="Q242">
        <f t="shared" si="19"/>
        <v>614.80999999999995</v>
      </c>
      <c r="R242">
        <f t="shared" si="20"/>
        <v>0</v>
      </c>
    </row>
    <row r="243" spans="1:18" x14ac:dyDescent="0.35">
      <c r="A243">
        <v>10242</v>
      </c>
      <c r="B243" t="s">
        <v>168</v>
      </c>
      <c r="C243" s="1">
        <f t="shared" si="18"/>
        <v>44803</v>
      </c>
      <c r="D243">
        <v>1957</v>
      </c>
      <c r="E243" t="s">
        <v>19</v>
      </c>
      <c r="F243" t="str">
        <f t="shared" si="21"/>
        <v>Electronics</v>
      </c>
      <c r="G243" t="s">
        <v>21</v>
      </c>
      <c r="H243" t="str">
        <f t="shared" si="22"/>
        <v>North</v>
      </c>
      <c r="I243">
        <v>7</v>
      </c>
      <c r="J243">
        <v>550.20000000000005</v>
      </c>
      <c r="K243">
        <v>0.11</v>
      </c>
      <c r="L243" t="str">
        <f t="shared" si="23"/>
        <v>Card</v>
      </c>
      <c r="M243" t="s">
        <v>16</v>
      </c>
      <c r="N243">
        <v>10</v>
      </c>
      <c r="O243">
        <v>2.2000000000000002</v>
      </c>
      <c r="P243">
        <v>3427.75</v>
      </c>
      <c r="Q243">
        <f t="shared" si="19"/>
        <v>3427.75</v>
      </c>
      <c r="R243">
        <f t="shared" si="20"/>
        <v>0</v>
      </c>
    </row>
    <row r="244" spans="1:18" x14ac:dyDescent="0.35">
      <c r="A244">
        <v>10243</v>
      </c>
      <c r="B244" t="s">
        <v>169</v>
      </c>
      <c r="C244" s="1">
        <f t="shared" si="18"/>
        <v>44804</v>
      </c>
      <c r="D244">
        <v>1632</v>
      </c>
      <c r="E244" t="s">
        <v>15</v>
      </c>
      <c r="F244" t="str">
        <f t="shared" si="21"/>
        <v>Clothing</v>
      </c>
      <c r="G244" t="s">
        <v>13</v>
      </c>
      <c r="H244" t="str">
        <f t="shared" si="22"/>
        <v>South</v>
      </c>
      <c r="I244">
        <v>2</v>
      </c>
      <c r="J244">
        <v>97.06</v>
      </c>
      <c r="K244">
        <v>0.27</v>
      </c>
      <c r="L244" t="str">
        <f t="shared" si="23"/>
        <v>Card</v>
      </c>
      <c r="M244" t="s">
        <v>16</v>
      </c>
      <c r="N244">
        <v>6</v>
      </c>
      <c r="O244">
        <v>1.4</v>
      </c>
      <c r="P244">
        <v>141.71</v>
      </c>
      <c r="Q244">
        <f t="shared" si="19"/>
        <v>141.71</v>
      </c>
      <c r="R244">
        <f t="shared" si="20"/>
        <v>0</v>
      </c>
    </row>
    <row r="245" spans="1:18" x14ac:dyDescent="0.35">
      <c r="A245">
        <v>10244</v>
      </c>
      <c r="B245" s="1">
        <v>44570</v>
      </c>
      <c r="C245" s="1">
        <f t="shared" si="18"/>
        <v>44805</v>
      </c>
      <c r="D245">
        <v>1627</v>
      </c>
      <c r="E245" t="s">
        <v>29</v>
      </c>
      <c r="F245" t="str">
        <f t="shared" si="21"/>
        <v>Home</v>
      </c>
      <c r="G245" t="s">
        <v>20</v>
      </c>
      <c r="H245" t="str">
        <f t="shared" si="22"/>
        <v>West</v>
      </c>
      <c r="I245">
        <v>6</v>
      </c>
      <c r="J245">
        <v>329.52</v>
      </c>
      <c r="K245">
        <v>0.23</v>
      </c>
      <c r="L245" t="str">
        <f t="shared" si="23"/>
        <v>Wallet</v>
      </c>
      <c r="M245" t="s">
        <v>14</v>
      </c>
      <c r="N245">
        <v>11</v>
      </c>
      <c r="O245">
        <v>1.8</v>
      </c>
      <c r="P245">
        <v>1522.38</v>
      </c>
      <c r="Q245">
        <f t="shared" si="19"/>
        <v>1522.38</v>
      </c>
      <c r="R245">
        <f t="shared" si="20"/>
        <v>0</v>
      </c>
    </row>
    <row r="246" spans="1:18" x14ac:dyDescent="0.35">
      <c r="A246">
        <v>10245</v>
      </c>
      <c r="B246" s="1">
        <v>44601</v>
      </c>
      <c r="C246" s="1">
        <f t="shared" si="18"/>
        <v>44806</v>
      </c>
      <c r="D246">
        <v>1972</v>
      </c>
      <c r="E246" t="s">
        <v>19</v>
      </c>
      <c r="F246" t="str">
        <f t="shared" si="21"/>
        <v>Electronics</v>
      </c>
      <c r="G246" t="s">
        <v>21</v>
      </c>
      <c r="H246" t="str">
        <f t="shared" si="22"/>
        <v>North</v>
      </c>
      <c r="I246">
        <v>5</v>
      </c>
      <c r="J246">
        <v>361.97</v>
      </c>
      <c r="K246">
        <v>0.26</v>
      </c>
      <c r="L246" t="str">
        <f t="shared" si="23"/>
        <v>Card</v>
      </c>
      <c r="M246" t="s">
        <v>16</v>
      </c>
      <c r="N246">
        <v>1</v>
      </c>
      <c r="O246">
        <v>4.7</v>
      </c>
      <c r="P246">
        <v>1339.29</v>
      </c>
      <c r="Q246">
        <f t="shared" si="19"/>
        <v>1339.29</v>
      </c>
      <c r="R246">
        <f t="shared" si="20"/>
        <v>0</v>
      </c>
    </row>
    <row r="247" spans="1:18" x14ac:dyDescent="0.35">
      <c r="A247">
        <v>10246</v>
      </c>
      <c r="B247" s="1">
        <v>44629</v>
      </c>
      <c r="C247" s="1">
        <f t="shared" si="18"/>
        <v>44807</v>
      </c>
      <c r="D247">
        <v>1744</v>
      </c>
      <c r="E247" t="s">
        <v>15</v>
      </c>
      <c r="F247" t="str">
        <f t="shared" si="21"/>
        <v>Clothing</v>
      </c>
      <c r="G247" t="s">
        <v>17</v>
      </c>
      <c r="H247" t="str">
        <f t="shared" si="22"/>
        <v>East</v>
      </c>
      <c r="I247">
        <v>6</v>
      </c>
      <c r="J247">
        <v>332.94</v>
      </c>
      <c r="K247">
        <v>0.28000000000000003</v>
      </c>
      <c r="L247" t="str">
        <f t="shared" si="23"/>
        <v>Wallet</v>
      </c>
      <c r="M247" t="s">
        <v>14</v>
      </c>
      <c r="N247">
        <v>11</v>
      </c>
      <c r="O247">
        <v>3.5</v>
      </c>
      <c r="P247">
        <v>1438.3</v>
      </c>
      <c r="Q247">
        <f t="shared" si="19"/>
        <v>1438.3</v>
      </c>
      <c r="R247">
        <f t="shared" si="20"/>
        <v>0</v>
      </c>
    </row>
    <row r="248" spans="1:18" x14ac:dyDescent="0.35">
      <c r="A248">
        <v>10247</v>
      </c>
      <c r="B248" s="1">
        <v>44660</v>
      </c>
      <c r="C248" s="1">
        <f t="shared" si="18"/>
        <v>44808</v>
      </c>
      <c r="D248">
        <v>1258</v>
      </c>
      <c r="E248" t="s">
        <v>29</v>
      </c>
      <c r="F248" t="str">
        <f t="shared" si="21"/>
        <v>Home</v>
      </c>
      <c r="G248" t="s">
        <v>17</v>
      </c>
      <c r="H248" t="str">
        <f t="shared" si="22"/>
        <v>East</v>
      </c>
      <c r="I248">
        <v>7</v>
      </c>
      <c r="J248">
        <v>72.95</v>
      </c>
      <c r="K248">
        <v>0.27</v>
      </c>
      <c r="L248" t="str">
        <f t="shared" si="23"/>
        <v>Cod</v>
      </c>
      <c r="M248" t="s">
        <v>18</v>
      </c>
      <c r="N248">
        <v>9</v>
      </c>
      <c r="O248">
        <v>2.2999999999999998</v>
      </c>
      <c r="P248">
        <v>372.77</v>
      </c>
      <c r="Q248">
        <f t="shared" si="19"/>
        <v>372.77</v>
      </c>
      <c r="R248">
        <f t="shared" si="20"/>
        <v>0</v>
      </c>
    </row>
    <row r="249" spans="1:18" x14ac:dyDescent="0.35">
      <c r="A249">
        <v>10248</v>
      </c>
      <c r="B249" s="1">
        <v>44690</v>
      </c>
      <c r="C249" s="1">
        <f t="shared" si="18"/>
        <v>44809</v>
      </c>
      <c r="D249">
        <v>1358</v>
      </c>
      <c r="E249" t="s">
        <v>15</v>
      </c>
      <c r="F249" t="str">
        <f t="shared" si="21"/>
        <v>Clothing</v>
      </c>
      <c r="G249" t="s">
        <v>17</v>
      </c>
      <c r="H249" t="str">
        <f t="shared" si="22"/>
        <v>East</v>
      </c>
      <c r="I249">
        <v>5</v>
      </c>
      <c r="J249">
        <v>201.5</v>
      </c>
      <c r="K249">
        <v>0.24</v>
      </c>
      <c r="L249" t="str">
        <f t="shared" si="23"/>
        <v>Cod</v>
      </c>
      <c r="M249" t="s">
        <v>18</v>
      </c>
      <c r="N249">
        <v>7</v>
      </c>
      <c r="O249">
        <v>2.5</v>
      </c>
      <c r="P249">
        <v>765.7</v>
      </c>
      <c r="Q249">
        <f t="shared" si="19"/>
        <v>765.7</v>
      </c>
      <c r="R249">
        <f t="shared" si="20"/>
        <v>0</v>
      </c>
    </row>
    <row r="250" spans="1:18" x14ac:dyDescent="0.35">
      <c r="A250">
        <v>10249</v>
      </c>
      <c r="B250" s="1">
        <v>44721</v>
      </c>
      <c r="C250" s="1">
        <f t="shared" si="18"/>
        <v>44810</v>
      </c>
      <c r="D250">
        <v>1709</v>
      </c>
      <c r="E250" t="s">
        <v>19</v>
      </c>
      <c r="F250" t="str">
        <f t="shared" si="21"/>
        <v>Electronics</v>
      </c>
      <c r="G250" t="s">
        <v>20</v>
      </c>
      <c r="H250" t="str">
        <f t="shared" si="22"/>
        <v>West</v>
      </c>
      <c r="I250">
        <v>6</v>
      </c>
      <c r="J250">
        <v>44.99</v>
      </c>
      <c r="K250">
        <v>0.15</v>
      </c>
      <c r="L250" t="str">
        <f t="shared" si="23"/>
        <v>Wallet</v>
      </c>
      <c r="M250" t="s">
        <v>14</v>
      </c>
      <c r="N250">
        <v>10</v>
      </c>
      <c r="O250">
        <v>3</v>
      </c>
      <c r="P250">
        <v>229.45</v>
      </c>
      <c r="Q250">
        <f t="shared" si="19"/>
        <v>229.45</v>
      </c>
      <c r="R250">
        <f t="shared" si="20"/>
        <v>0</v>
      </c>
    </row>
    <row r="251" spans="1:18" x14ac:dyDescent="0.35">
      <c r="A251">
        <v>10250</v>
      </c>
      <c r="B251" s="1">
        <v>44751</v>
      </c>
      <c r="C251" s="1">
        <f t="shared" si="18"/>
        <v>44811</v>
      </c>
      <c r="D251">
        <v>1455</v>
      </c>
      <c r="E251" t="s">
        <v>19</v>
      </c>
      <c r="F251" t="str">
        <f t="shared" si="21"/>
        <v>Electronics</v>
      </c>
      <c r="G251" t="s">
        <v>17</v>
      </c>
      <c r="H251" t="str">
        <f t="shared" si="22"/>
        <v>East</v>
      </c>
      <c r="I251">
        <v>5</v>
      </c>
      <c r="J251">
        <v>246.47</v>
      </c>
      <c r="K251">
        <v>0.34</v>
      </c>
      <c r="L251" t="str">
        <f t="shared" si="23"/>
        <v>Cod</v>
      </c>
      <c r="M251" t="s">
        <v>18</v>
      </c>
      <c r="N251">
        <v>11</v>
      </c>
      <c r="O251">
        <v>3.7</v>
      </c>
      <c r="P251">
        <v>813.35</v>
      </c>
      <c r="Q251">
        <f t="shared" si="19"/>
        <v>813.35</v>
      </c>
      <c r="R251">
        <f t="shared" si="20"/>
        <v>0</v>
      </c>
    </row>
    <row r="252" spans="1:18" x14ac:dyDescent="0.35">
      <c r="A252">
        <v>10251</v>
      </c>
      <c r="B252" s="1">
        <v>44782</v>
      </c>
      <c r="C252" s="1">
        <f t="shared" si="18"/>
        <v>44812</v>
      </c>
      <c r="D252">
        <v>1410</v>
      </c>
      <c r="E252" t="s">
        <v>15</v>
      </c>
      <c r="F252" t="str">
        <f t="shared" si="21"/>
        <v>Clothing</v>
      </c>
      <c r="G252" t="s">
        <v>17</v>
      </c>
      <c r="H252" t="str">
        <f t="shared" si="22"/>
        <v>East</v>
      </c>
      <c r="I252">
        <v>5</v>
      </c>
      <c r="J252">
        <v>125.33</v>
      </c>
      <c r="K252">
        <v>0.2</v>
      </c>
      <c r="L252" t="str">
        <f t="shared" si="23"/>
        <v>Wallet</v>
      </c>
      <c r="M252" t="s">
        <v>14</v>
      </c>
      <c r="N252">
        <v>3</v>
      </c>
      <c r="O252">
        <v>3.3</v>
      </c>
      <c r="P252">
        <v>501.32</v>
      </c>
      <c r="Q252">
        <f t="shared" si="19"/>
        <v>501.32</v>
      </c>
      <c r="R252">
        <f t="shared" si="20"/>
        <v>0</v>
      </c>
    </row>
    <row r="253" spans="1:18" x14ac:dyDescent="0.35">
      <c r="A253">
        <v>10252</v>
      </c>
      <c r="B253" s="1">
        <v>44813</v>
      </c>
      <c r="C253" s="1">
        <f t="shared" si="18"/>
        <v>44813</v>
      </c>
      <c r="D253">
        <v>1648</v>
      </c>
      <c r="E253" t="s">
        <v>12</v>
      </c>
      <c r="F253" t="str">
        <f t="shared" si="21"/>
        <v>Beauty</v>
      </c>
      <c r="G253" t="s">
        <v>21</v>
      </c>
      <c r="H253" t="str">
        <f t="shared" si="22"/>
        <v>North</v>
      </c>
      <c r="I253">
        <v>4</v>
      </c>
      <c r="J253">
        <v>343.56</v>
      </c>
      <c r="K253">
        <v>7.0000000000000007E-2</v>
      </c>
      <c r="L253" t="str">
        <f t="shared" si="23"/>
        <v>Card</v>
      </c>
      <c r="M253" t="s">
        <v>16</v>
      </c>
      <c r="N253">
        <v>7</v>
      </c>
      <c r="O253">
        <v>4.7</v>
      </c>
      <c r="P253">
        <v>1278.04</v>
      </c>
      <c r="Q253">
        <f t="shared" si="19"/>
        <v>1278.04</v>
      </c>
      <c r="R253">
        <f t="shared" si="20"/>
        <v>0</v>
      </c>
    </row>
    <row r="254" spans="1:18" x14ac:dyDescent="0.35">
      <c r="A254">
        <v>10253</v>
      </c>
      <c r="B254" s="1">
        <v>44843</v>
      </c>
      <c r="C254" s="1">
        <f t="shared" si="18"/>
        <v>44814</v>
      </c>
      <c r="D254">
        <v>1317</v>
      </c>
      <c r="E254" t="s">
        <v>19</v>
      </c>
      <c r="F254" t="str">
        <f t="shared" si="21"/>
        <v>Electronics</v>
      </c>
      <c r="G254" t="s">
        <v>21</v>
      </c>
      <c r="H254" t="str">
        <f t="shared" si="22"/>
        <v>North</v>
      </c>
      <c r="I254">
        <v>1</v>
      </c>
      <c r="J254">
        <v>420.29</v>
      </c>
      <c r="K254">
        <v>0.1</v>
      </c>
      <c r="L254" t="str">
        <f t="shared" si="23"/>
        <v>Cod</v>
      </c>
      <c r="M254" t="s">
        <v>18</v>
      </c>
      <c r="N254">
        <v>6</v>
      </c>
      <c r="O254">
        <v>3.5</v>
      </c>
      <c r="P254">
        <v>378.26</v>
      </c>
      <c r="Q254">
        <f t="shared" si="19"/>
        <v>378.26</v>
      </c>
      <c r="R254">
        <f t="shared" si="20"/>
        <v>0</v>
      </c>
    </row>
    <row r="255" spans="1:18" x14ac:dyDescent="0.35">
      <c r="A255">
        <v>10254</v>
      </c>
      <c r="B255" s="1">
        <v>44874</v>
      </c>
      <c r="C255" s="1">
        <f t="shared" si="18"/>
        <v>44815</v>
      </c>
      <c r="D255">
        <v>1676</v>
      </c>
      <c r="E255" t="s">
        <v>15</v>
      </c>
      <c r="F255" t="str">
        <f t="shared" si="21"/>
        <v>Clothing</v>
      </c>
      <c r="G255" t="s">
        <v>17</v>
      </c>
      <c r="H255" t="str">
        <f t="shared" si="22"/>
        <v>East</v>
      </c>
      <c r="I255">
        <v>5</v>
      </c>
      <c r="J255">
        <v>326.29000000000002</v>
      </c>
      <c r="K255">
        <v>0.24</v>
      </c>
      <c r="L255" t="str">
        <f t="shared" si="23"/>
        <v>Cod</v>
      </c>
      <c r="M255" t="s">
        <v>18</v>
      </c>
      <c r="N255">
        <v>3</v>
      </c>
      <c r="O255">
        <v>4.5999999999999996</v>
      </c>
      <c r="P255">
        <v>1239.9000000000001</v>
      </c>
      <c r="Q255">
        <f t="shared" si="19"/>
        <v>1239.9000000000001</v>
      </c>
      <c r="R255">
        <f t="shared" si="20"/>
        <v>0</v>
      </c>
    </row>
    <row r="256" spans="1:18" x14ac:dyDescent="0.35">
      <c r="A256">
        <v>10255</v>
      </c>
      <c r="B256" s="1">
        <v>44904</v>
      </c>
      <c r="C256" s="1">
        <f t="shared" si="18"/>
        <v>44816</v>
      </c>
      <c r="D256">
        <v>1224</v>
      </c>
      <c r="E256" t="s">
        <v>19</v>
      </c>
      <c r="F256" t="str">
        <f t="shared" si="21"/>
        <v>Electronics</v>
      </c>
      <c r="G256" t="s">
        <v>17</v>
      </c>
      <c r="H256" t="str">
        <f t="shared" si="22"/>
        <v>East</v>
      </c>
      <c r="I256">
        <v>2</v>
      </c>
      <c r="J256">
        <v>269.02999999999997</v>
      </c>
      <c r="K256">
        <v>0.32</v>
      </c>
      <c r="L256" t="str">
        <f t="shared" si="23"/>
        <v>Card</v>
      </c>
      <c r="M256" t="s">
        <v>16</v>
      </c>
      <c r="N256">
        <v>8</v>
      </c>
      <c r="O256">
        <v>1</v>
      </c>
      <c r="P256">
        <v>365.88</v>
      </c>
      <c r="Q256">
        <f t="shared" si="19"/>
        <v>365.88</v>
      </c>
      <c r="R256">
        <f t="shared" si="20"/>
        <v>0</v>
      </c>
    </row>
    <row r="257" spans="1:18" x14ac:dyDescent="0.35">
      <c r="A257">
        <v>10256</v>
      </c>
      <c r="B257" t="s">
        <v>170</v>
      </c>
      <c r="C257" s="1">
        <f t="shared" si="18"/>
        <v>44817</v>
      </c>
      <c r="D257">
        <v>1818</v>
      </c>
      <c r="E257" t="s">
        <v>19</v>
      </c>
      <c r="F257" t="str">
        <f t="shared" si="21"/>
        <v>Electronics</v>
      </c>
      <c r="G257" t="s">
        <v>21</v>
      </c>
      <c r="H257" t="str">
        <f t="shared" si="22"/>
        <v>North</v>
      </c>
      <c r="I257">
        <v>7</v>
      </c>
      <c r="J257">
        <v>241.59</v>
      </c>
      <c r="K257">
        <v>0.06</v>
      </c>
      <c r="L257" t="str">
        <f t="shared" si="23"/>
        <v>Cod</v>
      </c>
      <c r="M257" t="s">
        <v>18</v>
      </c>
      <c r="N257">
        <v>1</v>
      </c>
      <c r="O257">
        <v>4.5999999999999996</v>
      </c>
      <c r="P257">
        <v>1589.66</v>
      </c>
      <c r="Q257">
        <f t="shared" si="19"/>
        <v>1589.66</v>
      </c>
      <c r="R257">
        <f t="shared" si="20"/>
        <v>0</v>
      </c>
    </row>
    <row r="258" spans="1:18" x14ac:dyDescent="0.35">
      <c r="A258">
        <v>10257</v>
      </c>
      <c r="B258" t="s">
        <v>171</v>
      </c>
      <c r="C258" s="1">
        <f t="shared" ref="C258:C321" si="24">DATE(2022,1,1)+A258-10001</f>
        <v>44818</v>
      </c>
      <c r="D258">
        <v>1233</v>
      </c>
      <c r="E258" t="s">
        <v>29</v>
      </c>
      <c r="F258" t="str">
        <f t="shared" si="21"/>
        <v>Home</v>
      </c>
      <c r="G258" t="s">
        <v>13</v>
      </c>
      <c r="H258" t="str">
        <f t="shared" si="22"/>
        <v>South</v>
      </c>
      <c r="I258">
        <v>7</v>
      </c>
      <c r="J258">
        <v>507.39</v>
      </c>
      <c r="K258">
        <v>0.03</v>
      </c>
      <c r="L258" t="str">
        <f t="shared" si="23"/>
        <v>Cod</v>
      </c>
      <c r="M258" t="s">
        <v>18</v>
      </c>
      <c r="N258">
        <v>5</v>
      </c>
      <c r="O258">
        <v>3.9</v>
      </c>
      <c r="P258">
        <v>3445.18</v>
      </c>
      <c r="Q258">
        <f t="shared" ref="Q258:Q321" si="25">ROUND(I258*J258*(1-K258),2)</f>
        <v>3445.18</v>
      </c>
      <c r="R258">
        <f t="shared" ref="R258:R321" si="26">ROUND(P258-Q258,2)</f>
        <v>0</v>
      </c>
    </row>
    <row r="259" spans="1:18" x14ac:dyDescent="0.35">
      <c r="A259">
        <v>10258</v>
      </c>
      <c r="B259" t="s">
        <v>172</v>
      </c>
      <c r="C259" s="1">
        <f t="shared" si="24"/>
        <v>44819</v>
      </c>
      <c r="D259">
        <v>1683</v>
      </c>
      <c r="E259" t="s">
        <v>29</v>
      </c>
      <c r="F259" t="str">
        <f t="shared" ref="F259:F322" si="27">TRIM(PROPER(E259))</f>
        <v>Home</v>
      </c>
      <c r="G259" t="s">
        <v>20</v>
      </c>
      <c r="H259" t="str">
        <f t="shared" ref="H259:H322" si="28">TRIM(PROPER(G259))</f>
        <v>West</v>
      </c>
      <c r="I259">
        <v>2</v>
      </c>
      <c r="J259">
        <v>143.33000000000001</v>
      </c>
      <c r="K259">
        <v>0.31</v>
      </c>
      <c r="L259" t="str">
        <f t="shared" ref="L259:L322" si="29">TRIM(PROPER(M259))</f>
        <v>Wallet</v>
      </c>
      <c r="M259" t="s">
        <v>14</v>
      </c>
      <c r="N259">
        <v>8</v>
      </c>
      <c r="O259">
        <v>1.7</v>
      </c>
      <c r="P259">
        <v>197.8</v>
      </c>
      <c r="Q259">
        <f t="shared" si="25"/>
        <v>197.8</v>
      </c>
      <c r="R259">
        <f t="shared" si="26"/>
        <v>0</v>
      </c>
    </row>
    <row r="260" spans="1:18" x14ac:dyDescent="0.35">
      <c r="A260">
        <v>10259</v>
      </c>
      <c r="B260" t="s">
        <v>173</v>
      </c>
      <c r="C260" s="1">
        <f t="shared" si="24"/>
        <v>44820</v>
      </c>
      <c r="D260">
        <v>1663</v>
      </c>
      <c r="E260" t="s">
        <v>19</v>
      </c>
      <c r="F260" t="str">
        <f t="shared" si="27"/>
        <v>Electronics</v>
      </c>
      <c r="G260" t="s">
        <v>20</v>
      </c>
      <c r="H260" t="str">
        <f t="shared" si="28"/>
        <v>West</v>
      </c>
      <c r="I260">
        <v>3</v>
      </c>
      <c r="J260">
        <v>444.52</v>
      </c>
      <c r="K260">
        <v>0.32</v>
      </c>
      <c r="L260" t="str">
        <f t="shared" si="29"/>
        <v>Card</v>
      </c>
      <c r="M260" t="s">
        <v>16</v>
      </c>
      <c r="N260">
        <v>3</v>
      </c>
      <c r="O260">
        <v>2.1</v>
      </c>
      <c r="P260">
        <v>906.82</v>
      </c>
      <c r="Q260">
        <f t="shared" si="25"/>
        <v>906.82</v>
      </c>
      <c r="R260">
        <f t="shared" si="26"/>
        <v>0</v>
      </c>
    </row>
    <row r="261" spans="1:18" x14ac:dyDescent="0.35">
      <c r="A261">
        <v>10260</v>
      </c>
      <c r="B261" t="s">
        <v>174</v>
      </c>
      <c r="C261" s="1">
        <f t="shared" si="24"/>
        <v>44821</v>
      </c>
      <c r="D261">
        <v>1974</v>
      </c>
      <c r="E261" t="s">
        <v>15</v>
      </c>
      <c r="F261" t="str">
        <f t="shared" si="27"/>
        <v>Clothing</v>
      </c>
      <c r="G261" t="s">
        <v>21</v>
      </c>
      <c r="H261" t="str">
        <f t="shared" si="28"/>
        <v>North</v>
      </c>
      <c r="I261">
        <v>5</v>
      </c>
      <c r="J261">
        <v>458.13</v>
      </c>
      <c r="K261">
        <v>0.1</v>
      </c>
      <c r="L261" t="str">
        <f t="shared" si="29"/>
        <v>Cod</v>
      </c>
      <c r="M261" t="s">
        <v>18</v>
      </c>
      <c r="N261">
        <v>11</v>
      </c>
      <c r="O261">
        <v>3.2</v>
      </c>
      <c r="P261">
        <v>2061.58</v>
      </c>
      <c r="Q261">
        <f t="shared" si="25"/>
        <v>2061.59</v>
      </c>
      <c r="R261">
        <f t="shared" si="26"/>
        <v>-0.01</v>
      </c>
    </row>
    <row r="262" spans="1:18" x14ac:dyDescent="0.35">
      <c r="A262">
        <v>10261</v>
      </c>
      <c r="B262" t="s">
        <v>175</v>
      </c>
      <c r="C262" s="1">
        <f t="shared" si="24"/>
        <v>44822</v>
      </c>
      <c r="D262">
        <v>1826</v>
      </c>
      <c r="E262" t="s">
        <v>19</v>
      </c>
      <c r="F262" t="str">
        <f t="shared" si="27"/>
        <v>Electronics</v>
      </c>
      <c r="G262" t="s">
        <v>20</v>
      </c>
      <c r="H262" t="str">
        <f t="shared" si="28"/>
        <v>West</v>
      </c>
      <c r="I262">
        <v>5</v>
      </c>
      <c r="J262">
        <v>260.23</v>
      </c>
      <c r="K262">
        <v>0.13</v>
      </c>
      <c r="L262" t="str">
        <f t="shared" si="29"/>
        <v>Card</v>
      </c>
      <c r="M262" t="s">
        <v>16</v>
      </c>
      <c r="N262">
        <v>10</v>
      </c>
      <c r="O262">
        <v>1.5</v>
      </c>
      <c r="P262">
        <v>1132</v>
      </c>
      <c r="Q262">
        <f t="shared" si="25"/>
        <v>1132</v>
      </c>
      <c r="R262">
        <f t="shared" si="26"/>
        <v>0</v>
      </c>
    </row>
    <row r="263" spans="1:18" x14ac:dyDescent="0.35">
      <c r="A263">
        <v>10262</v>
      </c>
      <c r="B263" t="s">
        <v>176</v>
      </c>
      <c r="C263" s="1">
        <f t="shared" si="24"/>
        <v>44823</v>
      </c>
      <c r="D263">
        <v>1373</v>
      </c>
      <c r="E263" t="s">
        <v>15</v>
      </c>
      <c r="F263" t="str">
        <f t="shared" si="27"/>
        <v>Clothing</v>
      </c>
      <c r="G263" t="s">
        <v>21</v>
      </c>
      <c r="H263" t="str">
        <f t="shared" si="28"/>
        <v>North</v>
      </c>
      <c r="I263">
        <v>5</v>
      </c>
      <c r="J263">
        <v>188.92</v>
      </c>
      <c r="K263">
        <v>0.23</v>
      </c>
      <c r="L263" t="str">
        <f t="shared" si="29"/>
        <v>Cod</v>
      </c>
      <c r="M263" t="s">
        <v>18</v>
      </c>
      <c r="N263">
        <v>11</v>
      </c>
      <c r="O263">
        <v>4.0999999999999996</v>
      </c>
      <c r="P263">
        <v>727.34</v>
      </c>
      <c r="Q263">
        <f t="shared" si="25"/>
        <v>727.34</v>
      </c>
      <c r="R263">
        <f t="shared" si="26"/>
        <v>0</v>
      </c>
    </row>
    <row r="264" spans="1:18" x14ac:dyDescent="0.35">
      <c r="A264">
        <v>10263</v>
      </c>
      <c r="B264" t="s">
        <v>177</v>
      </c>
      <c r="C264" s="1">
        <f t="shared" si="24"/>
        <v>44824</v>
      </c>
      <c r="D264">
        <v>1671</v>
      </c>
      <c r="E264" t="s">
        <v>29</v>
      </c>
      <c r="F264" t="str">
        <f t="shared" si="27"/>
        <v>Home</v>
      </c>
      <c r="G264" t="s">
        <v>21</v>
      </c>
      <c r="H264" t="str">
        <f t="shared" si="28"/>
        <v>North</v>
      </c>
      <c r="I264">
        <v>6</v>
      </c>
      <c r="J264">
        <v>290.27</v>
      </c>
      <c r="K264">
        <v>0.12</v>
      </c>
      <c r="L264" t="str">
        <f t="shared" si="29"/>
        <v>Cod</v>
      </c>
      <c r="M264" t="s">
        <v>18</v>
      </c>
      <c r="N264">
        <v>6</v>
      </c>
      <c r="O264">
        <v>4.2</v>
      </c>
      <c r="P264">
        <v>1532.63</v>
      </c>
      <c r="Q264">
        <f t="shared" si="25"/>
        <v>1532.63</v>
      </c>
      <c r="R264">
        <f t="shared" si="26"/>
        <v>0</v>
      </c>
    </row>
    <row r="265" spans="1:18" x14ac:dyDescent="0.35">
      <c r="A265">
        <v>10264</v>
      </c>
      <c r="B265" t="s">
        <v>178</v>
      </c>
      <c r="C265" s="1">
        <f t="shared" si="24"/>
        <v>44825</v>
      </c>
      <c r="D265">
        <v>1607</v>
      </c>
      <c r="E265" t="s">
        <v>19</v>
      </c>
      <c r="F265" t="str">
        <f t="shared" si="27"/>
        <v>Electronics</v>
      </c>
      <c r="G265" t="s">
        <v>21</v>
      </c>
      <c r="H265" t="str">
        <f t="shared" si="28"/>
        <v>North</v>
      </c>
      <c r="I265">
        <v>5</v>
      </c>
      <c r="J265">
        <v>69.53</v>
      </c>
      <c r="K265">
        <v>0.31</v>
      </c>
      <c r="L265" t="str">
        <f t="shared" si="29"/>
        <v>Cod</v>
      </c>
      <c r="M265" t="s">
        <v>18</v>
      </c>
      <c r="N265">
        <v>10</v>
      </c>
      <c r="O265">
        <v>2.2000000000000002</v>
      </c>
      <c r="P265">
        <v>239.88</v>
      </c>
      <c r="Q265">
        <f t="shared" si="25"/>
        <v>239.88</v>
      </c>
      <c r="R265">
        <f t="shared" si="26"/>
        <v>0</v>
      </c>
    </row>
    <row r="266" spans="1:18" x14ac:dyDescent="0.35">
      <c r="A266">
        <v>10265</v>
      </c>
      <c r="B266" t="s">
        <v>179</v>
      </c>
      <c r="C266" s="1">
        <f t="shared" si="24"/>
        <v>44826</v>
      </c>
      <c r="D266">
        <v>1471</v>
      </c>
      <c r="E266" t="s">
        <v>19</v>
      </c>
      <c r="F266" t="str">
        <f t="shared" si="27"/>
        <v>Electronics</v>
      </c>
      <c r="G266" t="s">
        <v>21</v>
      </c>
      <c r="H266" t="str">
        <f t="shared" si="28"/>
        <v>North</v>
      </c>
      <c r="I266">
        <v>5</v>
      </c>
      <c r="J266">
        <v>41.87</v>
      </c>
      <c r="K266">
        <v>0.04</v>
      </c>
      <c r="L266" t="str">
        <f t="shared" si="29"/>
        <v>Card</v>
      </c>
      <c r="M266" t="s">
        <v>16</v>
      </c>
      <c r="N266">
        <v>11</v>
      </c>
      <c r="O266">
        <v>1.3</v>
      </c>
      <c r="P266">
        <v>200.98</v>
      </c>
      <c r="Q266">
        <f t="shared" si="25"/>
        <v>200.98</v>
      </c>
      <c r="R266">
        <f t="shared" si="26"/>
        <v>0</v>
      </c>
    </row>
    <row r="267" spans="1:18" x14ac:dyDescent="0.35">
      <c r="A267">
        <v>10266</v>
      </c>
      <c r="B267" t="s">
        <v>180</v>
      </c>
      <c r="C267" s="1">
        <f t="shared" si="24"/>
        <v>44827</v>
      </c>
      <c r="D267">
        <v>1232</v>
      </c>
      <c r="E267" t="s">
        <v>15</v>
      </c>
      <c r="F267" t="str">
        <f t="shared" si="27"/>
        <v>Clothing</v>
      </c>
      <c r="G267" t="s">
        <v>13</v>
      </c>
      <c r="H267" t="str">
        <f t="shared" si="28"/>
        <v>South</v>
      </c>
      <c r="I267">
        <v>2</v>
      </c>
      <c r="J267">
        <v>80.290000000000006</v>
      </c>
      <c r="K267">
        <v>0.01</v>
      </c>
      <c r="L267" t="str">
        <f t="shared" si="29"/>
        <v>Card</v>
      </c>
      <c r="M267" t="s">
        <v>16</v>
      </c>
      <c r="N267">
        <v>2</v>
      </c>
      <c r="O267">
        <v>5</v>
      </c>
      <c r="P267">
        <v>158.97</v>
      </c>
      <c r="Q267">
        <f t="shared" si="25"/>
        <v>158.97</v>
      </c>
      <c r="R267">
        <f t="shared" si="26"/>
        <v>0</v>
      </c>
    </row>
    <row r="268" spans="1:18" x14ac:dyDescent="0.35">
      <c r="A268">
        <v>10267</v>
      </c>
      <c r="B268" t="s">
        <v>181</v>
      </c>
      <c r="C268" s="1">
        <f t="shared" si="24"/>
        <v>44828</v>
      </c>
      <c r="D268">
        <v>1691</v>
      </c>
      <c r="E268" t="s">
        <v>12</v>
      </c>
      <c r="F268" t="str">
        <f t="shared" si="27"/>
        <v>Beauty</v>
      </c>
      <c r="G268" t="s">
        <v>17</v>
      </c>
      <c r="H268" t="str">
        <f t="shared" si="28"/>
        <v>East</v>
      </c>
      <c r="I268">
        <v>1</v>
      </c>
      <c r="J268">
        <v>124.48</v>
      </c>
      <c r="K268">
        <v>7.0000000000000007E-2</v>
      </c>
      <c r="L268" t="str">
        <f t="shared" si="29"/>
        <v>Card</v>
      </c>
      <c r="M268" t="s">
        <v>16</v>
      </c>
      <c r="N268">
        <v>9</v>
      </c>
      <c r="O268">
        <v>2</v>
      </c>
      <c r="P268">
        <v>115.77</v>
      </c>
      <c r="Q268">
        <f t="shared" si="25"/>
        <v>115.77</v>
      </c>
      <c r="R268">
        <f t="shared" si="26"/>
        <v>0</v>
      </c>
    </row>
    <row r="269" spans="1:18" x14ac:dyDescent="0.35">
      <c r="A269">
        <v>10268</v>
      </c>
      <c r="B269" t="s">
        <v>182</v>
      </c>
      <c r="C269" s="1">
        <f t="shared" si="24"/>
        <v>44829</v>
      </c>
      <c r="D269">
        <v>1112</v>
      </c>
      <c r="E269" t="s">
        <v>12</v>
      </c>
      <c r="F269" t="str">
        <f t="shared" si="27"/>
        <v>Beauty</v>
      </c>
      <c r="G269" t="s">
        <v>17</v>
      </c>
      <c r="H269" t="str">
        <f t="shared" si="28"/>
        <v>East</v>
      </c>
      <c r="I269">
        <v>1</v>
      </c>
      <c r="J269">
        <v>309.94</v>
      </c>
      <c r="K269">
        <v>0.1</v>
      </c>
      <c r="L269" t="str">
        <f t="shared" si="29"/>
        <v>Card</v>
      </c>
      <c r="M269" t="s">
        <v>16</v>
      </c>
      <c r="N269">
        <v>2</v>
      </c>
      <c r="O269">
        <v>1.3</v>
      </c>
      <c r="P269">
        <v>278.95</v>
      </c>
      <c r="Q269">
        <f t="shared" si="25"/>
        <v>278.95</v>
      </c>
      <c r="R269">
        <f t="shared" si="26"/>
        <v>0</v>
      </c>
    </row>
    <row r="270" spans="1:18" x14ac:dyDescent="0.35">
      <c r="A270">
        <v>10269</v>
      </c>
      <c r="B270" t="s">
        <v>183</v>
      </c>
      <c r="C270" s="1">
        <f t="shared" si="24"/>
        <v>44830</v>
      </c>
      <c r="D270">
        <v>1829</v>
      </c>
      <c r="E270" t="s">
        <v>19</v>
      </c>
      <c r="F270" t="str">
        <f t="shared" si="27"/>
        <v>Electronics</v>
      </c>
      <c r="G270" t="s">
        <v>13</v>
      </c>
      <c r="H270" t="str">
        <f t="shared" si="28"/>
        <v>South</v>
      </c>
      <c r="I270">
        <v>3</v>
      </c>
      <c r="J270">
        <v>511.74</v>
      </c>
      <c r="K270">
        <v>0.04</v>
      </c>
      <c r="L270" t="str">
        <f t="shared" si="29"/>
        <v>Cod</v>
      </c>
      <c r="M270" t="s">
        <v>18</v>
      </c>
      <c r="N270">
        <v>5</v>
      </c>
      <c r="O270">
        <v>2.2999999999999998</v>
      </c>
      <c r="P270">
        <v>1473.81</v>
      </c>
      <c r="Q270">
        <f t="shared" si="25"/>
        <v>1473.81</v>
      </c>
      <c r="R270">
        <f t="shared" si="26"/>
        <v>0</v>
      </c>
    </row>
    <row r="271" spans="1:18" x14ac:dyDescent="0.35">
      <c r="A271">
        <v>10270</v>
      </c>
      <c r="B271" t="s">
        <v>184</v>
      </c>
      <c r="C271" s="1">
        <f t="shared" si="24"/>
        <v>44831</v>
      </c>
      <c r="D271">
        <v>1496</v>
      </c>
      <c r="E271" t="s">
        <v>29</v>
      </c>
      <c r="F271" t="str">
        <f t="shared" si="27"/>
        <v>Home</v>
      </c>
      <c r="G271" t="s">
        <v>20</v>
      </c>
      <c r="H271" t="str">
        <f t="shared" si="28"/>
        <v>West</v>
      </c>
      <c r="I271">
        <v>2</v>
      </c>
      <c r="J271">
        <v>152.85</v>
      </c>
      <c r="K271">
        <v>0.02</v>
      </c>
      <c r="L271" t="str">
        <f t="shared" si="29"/>
        <v>Wallet</v>
      </c>
      <c r="M271" t="s">
        <v>14</v>
      </c>
      <c r="N271">
        <v>3</v>
      </c>
      <c r="O271">
        <v>4.9000000000000004</v>
      </c>
      <c r="P271">
        <v>299.58999999999997</v>
      </c>
      <c r="Q271">
        <f t="shared" si="25"/>
        <v>299.58999999999997</v>
      </c>
      <c r="R271">
        <f t="shared" si="26"/>
        <v>0</v>
      </c>
    </row>
    <row r="272" spans="1:18" x14ac:dyDescent="0.35">
      <c r="A272">
        <v>10271</v>
      </c>
      <c r="B272" t="s">
        <v>185</v>
      </c>
      <c r="C272" s="1">
        <f t="shared" si="24"/>
        <v>44832</v>
      </c>
      <c r="D272">
        <v>1441</v>
      </c>
      <c r="E272" t="s">
        <v>15</v>
      </c>
      <c r="F272" t="str">
        <f t="shared" si="27"/>
        <v>Clothing</v>
      </c>
      <c r="G272" t="s">
        <v>20</v>
      </c>
      <c r="H272" t="str">
        <f t="shared" si="28"/>
        <v>West</v>
      </c>
      <c r="I272">
        <v>5</v>
      </c>
      <c r="J272">
        <v>562.07000000000005</v>
      </c>
      <c r="K272">
        <v>0.26</v>
      </c>
      <c r="L272" t="str">
        <f t="shared" si="29"/>
        <v>Card</v>
      </c>
      <c r="M272" t="s">
        <v>16</v>
      </c>
      <c r="N272">
        <v>10</v>
      </c>
      <c r="O272">
        <v>4.2</v>
      </c>
      <c r="P272">
        <v>2079.66</v>
      </c>
      <c r="Q272">
        <f t="shared" si="25"/>
        <v>2079.66</v>
      </c>
      <c r="R272">
        <f t="shared" si="26"/>
        <v>0</v>
      </c>
    </row>
    <row r="273" spans="1:18" x14ac:dyDescent="0.35">
      <c r="A273">
        <v>10272</v>
      </c>
      <c r="B273" t="s">
        <v>186</v>
      </c>
      <c r="C273" s="1">
        <f t="shared" si="24"/>
        <v>44833</v>
      </c>
      <c r="D273">
        <v>1563</v>
      </c>
      <c r="E273" t="s">
        <v>15</v>
      </c>
      <c r="F273" t="str">
        <f t="shared" si="27"/>
        <v>Clothing</v>
      </c>
      <c r="G273" t="s">
        <v>17</v>
      </c>
      <c r="H273" t="str">
        <f t="shared" si="28"/>
        <v>East</v>
      </c>
      <c r="I273">
        <v>1</v>
      </c>
      <c r="J273">
        <v>573.62</v>
      </c>
      <c r="K273">
        <v>0.06</v>
      </c>
      <c r="L273" t="str">
        <f t="shared" si="29"/>
        <v>Card</v>
      </c>
      <c r="M273" t="s">
        <v>16</v>
      </c>
      <c r="N273">
        <v>9</v>
      </c>
      <c r="O273">
        <v>2.9</v>
      </c>
      <c r="P273">
        <v>539.20000000000005</v>
      </c>
      <c r="Q273">
        <f t="shared" si="25"/>
        <v>539.20000000000005</v>
      </c>
      <c r="R273">
        <f t="shared" si="26"/>
        <v>0</v>
      </c>
    </row>
    <row r="274" spans="1:18" x14ac:dyDescent="0.35">
      <c r="A274">
        <v>10273</v>
      </c>
      <c r="B274" t="s">
        <v>187</v>
      </c>
      <c r="C274" s="1">
        <f t="shared" si="24"/>
        <v>44834</v>
      </c>
      <c r="D274">
        <v>1267</v>
      </c>
      <c r="E274" t="s">
        <v>29</v>
      </c>
      <c r="F274" t="str">
        <f t="shared" si="27"/>
        <v>Home</v>
      </c>
      <c r="G274" t="s">
        <v>20</v>
      </c>
      <c r="H274" t="str">
        <f t="shared" si="28"/>
        <v>West</v>
      </c>
      <c r="I274">
        <v>4</v>
      </c>
      <c r="J274">
        <v>575.96</v>
      </c>
      <c r="K274">
        <v>0.32</v>
      </c>
      <c r="L274" t="str">
        <f t="shared" si="29"/>
        <v>Cod</v>
      </c>
      <c r="M274" t="s">
        <v>18</v>
      </c>
      <c r="N274">
        <v>9</v>
      </c>
      <c r="O274">
        <v>2.2000000000000002</v>
      </c>
      <c r="P274">
        <v>1566.61</v>
      </c>
      <c r="Q274">
        <f t="shared" si="25"/>
        <v>1566.61</v>
      </c>
      <c r="R274">
        <f t="shared" si="26"/>
        <v>0</v>
      </c>
    </row>
    <row r="275" spans="1:18" x14ac:dyDescent="0.35">
      <c r="A275">
        <v>10274</v>
      </c>
      <c r="B275" s="1">
        <v>44571</v>
      </c>
      <c r="C275" s="1">
        <f t="shared" si="24"/>
        <v>44835</v>
      </c>
      <c r="D275">
        <v>1509</v>
      </c>
      <c r="E275" t="s">
        <v>12</v>
      </c>
      <c r="F275" t="str">
        <f t="shared" si="27"/>
        <v>Beauty</v>
      </c>
      <c r="G275" t="s">
        <v>17</v>
      </c>
      <c r="H275" t="str">
        <f t="shared" si="28"/>
        <v>East</v>
      </c>
      <c r="I275">
        <v>4</v>
      </c>
      <c r="J275">
        <v>504.97</v>
      </c>
      <c r="K275">
        <v>0.13</v>
      </c>
      <c r="L275" t="str">
        <f t="shared" si="29"/>
        <v>Cod</v>
      </c>
      <c r="M275" t="s">
        <v>18</v>
      </c>
      <c r="N275">
        <v>7</v>
      </c>
      <c r="O275">
        <v>2.7</v>
      </c>
      <c r="P275">
        <v>1757.3</v>
      </c>
      <c r="Q275">
        <f t="shared" si="25"/>
        <v>1757.3</v>
      </c>
      <c r="R275">
        <f t="shared" si="26"/>
        <v>0</v>
      </c>
    </row>
    <row r="276" spans="1:18" x14ac:dyDescent="0.35">
      <c r="A276">
        <v>10275</v>
      </c>
      <c r="B276" s="1">
        <v>44602</v>
      </c>
      <c r="C276" s="1">
        <f t="shared" si="24"/>
        <v>44836</v>
      </c>
      <c r="D276">
        <v>1806</v>
      </c>
      <c r="E276" t="s">
        <v>12</v>
      </c>
      <c r="F276" t="str">
        <f t="shared" si="27"/>
        <v>Beauty</v>
      </c>
      <c r="G276" t="s">
        <v>17</v>
      </c>
      <c r="H276" t="str">
        <f t="shared" si="28"/>
        <v>East</v>
      </c>
      <c r="I276">
        <v>4</v>
      </c>
      <c r="J276">
        <v>227.84</v>
      </c>
      <c r="K276">
        <v>0.23</v>
      </c>
      <c r="L276" t="str">
        <f t="shared" si="29"/>
        <v>Card</v>
      </c>
      <c r="M276" t="s">
        <v>16</v>
      </c>
      <c r="N276">
        <v>10</v>
      </c>
      <c r="O276">
        <v>1.1000000000000001</v>
      </c>
      <c r="P276">
        <v>701.75</v>
      </c>
      <c r="Q276">
        <f t="shared" si="25"/>
        <v>701.75</v>
      </c>
      <c r="R276">
        <f t="shared" si="26"/>
        <v>0</v>
      </c>
    </row>
    <row r="277" spans="1:18" x14ac:dyDescent="0.35">
      <c r="A277">
        <v>10276</v>
      </c>
      <c r="B277" s="1">
        <v>44630</v>
      </c>
      <c r="C277" s="1">
        <f t="shared" si="24"/>
        <v>44837</v>
      </c>
      <c r="D277">
        <v>1385</v>
      </c>
      <c r="E277" t="s">
        <v>15</v>
      </c>
      <c r="F277" t="str">
        <f t="shared" si="27"/>
        <v>Clothing</v>
      </c>
      <c r="G277" t="s">
        <v>13</v>
      </c>
      <c r="H277" t="str">
        <f t="shared" si="28"/>
        <v>South</v>
      </c>
      <c r="I277">
        <v>5</v>
      </c>
      <c r="J277">
        <v>57.52</v>
      </c>
      <c r="K277">
        <v>0.08</v>
      </c>
      <c r="L277" t="str">
        <f t="shared" si="29"/>
        <v>Card</v>
      </c>
      <c r="M277" t="s">
        <v>16</v>
      </c>
      <c r="N277">
        <v>5</v>
      </c>
      <c r="O277">
        <v>3.9</v>
      </c>
      <c r="P277">
        <v>264.58999999999997</v>
      </c>
      <c r="Q277">
        <f t="shared" si="25"/>
        <v>264.58999999999997</v>
      </c>
      <c r="R277">
        <f t="shared" si="26"/>
        <v>0</v>
      </c>
    </row>
    <row r="278" spans="1:18" x14ac:dyDescent="0.35">
      <c r="A278">
        <v>10277</v>
      </c>
      <c r="B278" s="1">
        <v>44661</v>
      </c>
      <c r="C278" s="1">
        <f t="shared" si="24"/>
        <v>44838</v>
      </c>
      <c r="D278">
        <v>1386</v>
      </c>
      <c r="E278" t="s">
        <v>15</v>
      </c>
      <c r="F278" t="str">
        <f t="shared" si="27"/>
        <v>Clothing</v>
      </c>
      <c r="G278" t="s">
        <v>20</v>
      </c>
      <c r="H278" t="str">
        <f t="shared" si="28"/>
        <v>West</v>
      </c>
      <c r="I278">
        <v>5</v>
      </c>
      <c r="J278">
        <v>347.76</v>
      </c>
      <c r="K278">
        <v>0.08</v>
      </c>
      <c r="L278" t="str">
        <f t="shared" si="29"/>
        <v>Card</v>
      </c>
      <c r="M278" t="s">
        <v>16</v>
      </c>
      <c r="N278">
        <v>9</v>
      </c>
      <c r="O278">
        <v>1.4</v>
      </c>
      <c r="P278">
        <v>1599.7</v>
      </c>
      <c r="Q278">
        <f t="shared" si="25"/>
        <v>1599.7</v>
      </c>
      <c r="R278">
        <f t="shared" si="26"/>
        <v>0</v>
      </c>
    </row>
    <row r="279" spans="1:18" x14ac:dyDescent="0.35">
      <c r="A279">
        <v>10278</v>
      </c>
      <c r="B279" s="1">
        <v>44691</v>
      </c>
      <c r="C279" s="1">
        <f t="shared" si="24"/>
        <v>44839</v>
      </c>
      <c r="D279">
        <v>1112</v>
      </c>
      <c r="E279" t="s">
        <v>29</v>
      </c>
      <c r="F279" t="str">
        <f t="shared" si="27"/>
        <v>Home</v>
      </c>
      <c r="G279" t="s">
        <v>13</v>
      </c>
      <c r="H279" t="str">
        <f t="shared" si="28"/>
        <v>South</v>
      </c>
      <c r="I279">
        <v>3</v>
      </c>
      <c r="J279">
        <v>341.83</v>
      </c>
      <c r="K279">
        <v>0.2</v>
      </c>
      <c r="L279" t="str">
        <f t="shared" si="29"/>
        <v>Card</v>
      </c>
      <c r="M279" t="s">
        <v>16</v>
      </c>
      <c r="N279">
        <v>7</v>
      </c>
      <c r="O279">
        <v>3.1</v>
      </c>
      <c r="P279">
        <v>820.39</v>
      </c>
      <c r="Q279">
        <f t="shared" si="25"/>
        <v>820.39</v>
      </c>
      <c r="R279">
        <f t="shared" si="26"/>
        <v>0</v>
      </c>
    </row>
    <row r="280" spans="1:18" x14ac:dyDescent="0.35">
      <c r="A280">
        <v>10279</v>
      </c>
      <c r="B280" s="1">
        <v>44722</v>
      </c>
      <c r="C280" s="1">
        <f t="shared" si="24"/>
        <v>44840</v>
      </c>
      <c r="D280">
        <v>1612</v>
      </c>
      <c r="E280" t="s">
        <v>19</v>
      </c>
      <c r="F280" t="str">
        <f t="shared" si="27"/>
        <v>Electronics</v>
      </c>
      <c r="G280" t="s">
        <v>17</v>
      </c>
      <c r="H280" t="str">
        <f t="shared" si="28"/>
        <v>East</v>
      </c>
      <c r="I280">
        <v>7</v>
      </c>
      <c r="J280">
        <v>512.24</v>
      </c>
      <c r="K280">
        <v>0.2</v>
      </c>
      <c r="L280" t="str">
        <f t="shared" si="29"/>
        <v>Card</v>
      </c>
      <c r="M280" t="s">
        <v>16</v>
      </c>
      <c r="N280">
        <v>2</v>
      </c>
      <c r="O280">
        <v>3.3</v>
      </c>
      <c r="P280">
        <v>2868.54</v>
      </c>
      <c r="Q280">
        <f t="shared" si="25"/>
        <v>2868.54</v>
      </c>
      <c r="R280">
        <f t="shared" si="26"/>
        <v>0</v>
      </c>
    </row>
    <row r="281" spans="1:18" x14ac:dyDescent="0.35">
      <c r="A281">
        <v>10280</v>
      </c>
      <c r="B281" s="1">
        <v>44752</v>
      </c>
      <c r="C281" s="1">
        <f t="shared" si="24"/>
        <v>44841</v>
      </c>
      <c r="D281">
        <v>1624</v>
      </c>
      <c r="E281" t="s">
        <v>15</v>
      </c>
      <c r="F281" t="str">
        <f t="shared" si="27"/>
        <v>Clothing</v>
      </c>
      <c r="G281" t="s">
        <v>17</v>
      </c>
      <c r="H281" t="str">
        <f t="shared" si="28"/>
        <v>East</v>
      </c>
      <c r="I281">
        <v>3</v>
      </c>
      <c r="J281">
        <v>597.65</v>
      </c>
      <c r="K281">
        <v>0.27</v>
      </c>
      <c r="L281" t="str">
        <f t="shared" si="29"/>
        <v>Card</v>
      </c>
      <c r="M281" t="s">
        <v>16</v>
      </c>
      <c r="N281">
        <v>10</v>
      </c>
      <c r="O281">
        <v>1</v>
      </c>
      <c r="P281">
        <v>1308.8499999999999</v>
      </c>
      <c r="Q281">
        <f t="shared" si="25"/>
        <v>1308.8499999999999</v>
      </c>
      <c r="R281">
        <f t="shared" si="26"/>
        <v>0</v>
      </c>
    </row>
    <row r="282" spans="1:18" x14ac:dyDescent="0.35">
      <c r="A282">
        <v>10281</v>
      </c>
      <c r="B282" s="1">
        <v>44783</v>
      </c>
      <c r="C282" s="1">
        <f t="shared" si="24"/>
        <v>44842</v>
      </c>
      <c r="D282">
        <v>1951</v>
      </c>
      <c r="E282" t="s">
        <v>15</v>
      </c>
      <c r="F282" t="str">
        <f t="shared" si="27"/>
        <v>Clothing</v>
      </c>
      <c r="G282" t="s">
        <v>17</v>
      </c>
      <c r="H282" t="str">
        <f t="shared" si="28"/>
        <v>East</v>
      </c>
      <c r="I282">
        <v>3</v>
      </c>
      <c r="J282">
        <v>312.27</v>
      </c>
      <c r="K282">
        <v>0.27</v>
      </c>
      <c r="L282" t="str">
        <f t="shared" si="29"/>
        <v>Cod</v>
      </c>
      <c r="M282" t="s">
        <v>18</v>
      </c>
      <c r="N282">
        <v>1</v>
      </c>
      <c r="O282">
        <v>4.9000000000000004</v>
      </c>
      <c r="P282">
        <v>683.87</v>
      </c>
      <c r="Q282">
        <f t="shared" si="25"/>
        <v>683.87</v>
      </c>
      <c r="R282">
        <f t="shared" si="26"/>
        <v>0</v>
      </c>
    </row>
    <row r="283" spans="1:18" x14ac:dyDescent="0.35">
      <c r="A283">
        <v>10282</v>
      </c>
      <c r="B283" s="1">
        <v>44814</v>
      </c>
      <c r="C283" s="1">
        <f t="shared" si="24"/>
        <v>44843</v>
      </c>
      <c r="D283">
        <v>1080</v>
      </c>
      <c r="E283" t="s">
        <v>29</v>
      </c>
      <c r="F283" t="str">
        <f t="shared" si="27"/>
        <v>Home</v>
      </c>
      <c r="G283" t="s">
        <v>21</v>
      </c>
      <c r="H283" t="str">
        <f t="shared" si="28"/>
        <v>North</v>
      </c>
      <c r="I283">
        <v>6</v>
      </c>
      <c r="J283">
        <v>216.94</v>
      </c>
      <c r="K283">
        <v>0.23</v>
      </c>
      <c r="L283" t="str">
        <f t="shared" si="29"/>
        <v>Cod</v>
      </c>
      <c r="M283" t="s">
        <v>18</v>
      </c>
      <c r="N283">
        <v>10</v>
      </c>
      <c r="O283">
        <v>2.2000000000000002</v>
      </c>
      <c r="P283">
        <v>1002.26</v>
      </c>
      <c r="Q283">
        <f t="shared" si="25"/>
        <v>1002.26</v>
      </c>
      <c r="R283">
        <f t="shared" si="26"/>
        <v>0</v>
      </c>
    </row>
    <row r="284" spans="1:18" x14ac:dyDescent="0.35">
      <c r="A284">
        <v>10283</v>
      </c>
      <c r="B284" s="1">
        <v>44844</v>
      </c>
      <c r="C284" s="1">
        <f t="shared" si="24"/>
        <v>44844</v>
      </c>
      <c r="D284">
        <v>1698</v>
      </c>
      <c r="E284" t="s">
        <v>19</v>
      </c>
      <c r="F284" t="str">
        <f t="shared" si="27"/>
        <v>Electronics</v>
      </c>
      <c r="G284" t="s">
        <v>21</v>
      </c>
      <c r="H284" t="str">
        <f t="shared" si="28"/>
        <v>North</v>
      </c>
      <c r="I284">
        <v>4</v>
      </c>
      <c r="J284">
        <v>123.75</v>
      </c>
      <c r="K284">
        <v>0.16</v>
      </c>
      <c r="L284" t="str">
        <f t="shared" si="29"/>
        <v>Card</v>
      </c>
      <c r="M284" t="s">
        <v>16</v>
      </c>
      <c r="N284">
        <v>10</v>
      </c>
      <c r="O284">
        <v>1.3</v>
      </c>
      <c r="P284">
        <v>415.8</v>
      </c>
      <c r="Q284">
        <f t="shared" si="25"/>
        <v>415.8</v>
      </c>
      <c r="R284">
        <f t="shared" si="26"/>
        <v>0</v>
      </c>
    </row>
    <row r="285" spans="1:18" x14ac:dyDescent="0.35">
      <c r="A285">
        <v>10284</v>
      </c>
      <c r="B285" s="1">
        <v>44875</v>
      </c>
      <c r="C285" s="1">
        <f t="shared" si="24"/>
        <v>44845</v>
      </c>
      <c r="D285">
        <v>1112</v>
      </c>
      <c r="E285" t="s">
        <v>19</v>
      </c>
      <c r="F285" t="str">
        <f t="shared" si="27"/>
        <v>Electronics</v>
      </c>
      <c r="G285" t="s">
        <v>21</v>
      </c>
      <c r="H285" t="str">
        <f t="shared" si="28"/>
        <v>North</v>
      </c>
      <c r="I285">
        <v>5</v>
      </c>
      <c r="J285">
        <v>17.809999999999999</v>
      </c>
      <c r="K285">
        <v>0.31</v>
      </c>
      <c r="L285" t="str">
        <f t="shared" si="29"/>
        <v>Cod</v>
      </c>
      <c r="M285" t="s">
        <v>18</v>
      </c>
      <c r="N285">
        <v>4</v>
      </c>
      <c r="O285">
        <v>4.4000000000000004</v>
      </c>
      <c r="P285">
        <v>61.44</v>
      </c>
      <c r="Q285">
        <f t="shared" si="25"/>
        <v>61.44</v>
      </c>
      <c r="R285">
        <f t="shared" si="26"/>
        <v>0</v>
      </c>
    </row>
    <row r="286" spans="1:18" x14ac:dyDescent="0.35">
      <c r="A286">
        <v>10285</v>
      </c>
      <c r="B286" s="1">
        <v>44905</v>
      </c>
      <c r="C286" s="1">
        <f t="shared" si="24"/>
        <v>44846</v>
      </c>
      <c r="D286">
        <v>1001</v>
      </c>
      <c r="E286" t="s">
        <v>12</v>
      </c>
      <c r="F286" t="str">
        <f t="shared" si="27"/>
        <v>Beauty</v>
      </c>
      <c r="G286" t="s">
        <v>13</v>
      </c>
      <c r="H286" t="str">
        <f t="shared" si="28"/>
        <v>South</v>
      </c>
      <c r="I286">
        <v>4</v>
      </c>
      <c r="J286">
        <v>312.83</v>
      </c>
      <c r="K286">
        <v>0.22</v>
      </c>
      <c r="L286" t="str">
        <f t="shared" si="29"/>
        <v>Cod</v>
      </c>
      <c r="M286" t="s">
        <v>18</v>
      </c>
      <c r="N286">
        <v>10</v>
      </c>
      <c r="O286">
        <v>1.6</v>
      </c>
      <c r="P286">
        <v>976.03</v>
      </c>
      <c r="Q286">
        <f t="shared" si="25"/>
        <v>976.03</v>
      </c>
      <c r="R286">
        <f t="shared" si="26"/>
        <v>0</v>
      </c>
    </row>
    <row r="287" spans="1:18" x14ac:dyDescent="0.35">
      <c r="A287">
        <v>10286</v>
      </c>
      <c r="B287" t="s">
        <v>188</v>
      </c>
      <c r="C287" s="1">
        <f t="shared" si="24"/>
        <v>44847</v>
      </c>
      <c r="D287">
        <v>1641</v>
      </c>
      <c r="E287" t="s">
        <v>19</v>
      </c>
      <c r="F287" t="str">
        <f t="shared" si="27"/>
        <v>Electronics</v>
      </c>
      <c r="G287" t="s">
        <v>17</v>
      </c>
      <c r="H287" t="str">
        <f t="shared" si="28"/>
        <v>East</v>
      </c>
      <c r="I287">
        <v>3</v>
      </c>
      <c r="J287">
        <v>339.98</v>
      </c>
      <c r="K287">
        <v>0.35</v>
      </c>
      <c r="L287" t="str">
        <f t="shared" si="29"/>
        <v>Wallet</v>
      </c>
      <c r="M287" t="s">
        <v>14</v>
      </c>
      <c r="N287">
        <v>8</v>
      </c>
      <c r="O287">
        <v>1.1000000000000001</v>
      </c>
      <c r="P287">
        <v>662.96</v>
      </c>
      <c r="Q287">
        <f t="shared" si="25"/>
        <v>662.96</v>
      </c>
      <c r="R287">
        <f t="shared" si="26"/>
        <v>0</v>
      </c>
    </row>
    <row r="288" spans="1:18" x14ac:dyDescent="0.35">
      <c r="A288">
        <v>10287</v>
      </c>
      <c r="B288" t="s">
        <v>189</v>
      </c>
      <c r="C288" s="1">
        <f t="shared" si="24"/>
        <v>44848</v>
      </c>
      <c r="D288">
        <v>1219</v>
      </c>
      <c r="E288" t="s">
        <v>15</v>
      </c>
      <c r="F288" t="str">
        <f t="shared" si="27"/>
        <v>Clothing</v>
      </c>
      <c r="G288" t="s">
        <v>20</v>
      </c>
      <c r="H288" t="str">
        <f t="shared" si="28"/>
        <v>West</v>
      </c>
      <c r="I288">
        <v>5</v>
      </c>
      <c r="J288">
        <v>497.59</v>
      </c>
      <c r="K288">
        <v>0.28999999999999998</v>
      </c>
      <c r="L288" t="str">
        <f t="shared" si="29"/>
        <v>Card</v>
      </c>
      <c r="M288" t="s">
        <v>16</v>
      </c>
      <c r="N288">
        <v>6</v>
      </c>
      <c r="O288">
        <v>3</v>
      </c>
      <c r="P288">
        <v>1766.44</v>
      </c>
      <c r="Q288">
        <f t="shared" si="25"/>
        <v>1766.44</v>
      </c>
      <c r="R288">
        <f t="shared" si="26"/>
        <v>0</v>
      </c>
    </row>
    <row r="289" spans="1:18" x14ac:dyDescent="0.35">
      <c r="A289">
        <v>10288</v>
      </c>
      <c r="B289" t="s">
        <v>190</v>
      </c>
      <c r="C289" s="1">
        <f t="shared" si="24"/>
        <v>44849</v>
      </c>
      <c r="D289">
        <v>1565</v>
      </c>
      <c r="E289" t="s">
        <v>19</v>
      </c>
      <c r="F289" t="str">
        <f t="shared" si="27"/>
        <v>Electronics</v>
      </c>
      <c r="G289" t="s">
        <v>13</v>
      </c>
      <c r="H289" t="str">
        <f t="shared" si="28"/>
        <v>South</v>
      </c>
      <c r="I289">
        <v>2</v>
      </c>
      <c r="J289">
        <v>310.18</v>
      </c>
      <c r="K289">
        <v>0.02</v>
      </c>
      <c r="L289" t="str">
        <f t="shared" si="29"/>
        <v>Cod</v>
      </c>
      <c r="M289" t="s">
        <v>18</v>
      </c>
      <c r="N289">
        <v>2</v>
      </c>
      <c r="O289">
        <v>1.5</v>
      </c>
      <c r="P289">
        <v>607.95000000000005</v>
      </c>
      <c r="Q289">
        <f t="shared" si="25"/>
        <v>607.95000000000005</v>
      </c>
      <c r="R289">
        <f t="shared" si="26"/>
        <v>0</v>
      </c>
    </row>
    <row r="290" spans="1:18" x14ac:dyDescent="0.35">
      <c r="A290">
        <v>10289</v>
      </c>
      <c r="B290" t="s">
        <v>191</v>
      </c>
      <c r="C290" s="1">
        <f t="shared" si="24"/>
        <v>44850</v>
      </c>
      <c r="D290">
        <v>1854</v>
      </c>
      <c r="E290" t="s">
        <v>19</v>
      </c>
      <c r="F290" t="str">
        <f t="shared" si="27"/>
        <v>Electronics</v>
      </c>
      <c r="G290" t="s">
        <v>13</v>
      </c>
      <c r="H290" t="str">
        <f t="shared" si="28"/>
        <v>South</v>
      </c>
      <c r="I290">
        <v>1</v>
      </c>
      <c r="J290">
        <v>551.13</v>
      </c>
      <c r="K290">
        <v>0.11</v>
      </c>
      <c r="L290" t="str">
        <f t="shared" si="29"/>
        <v>Cod</v>
      </c>
      <c r="M290" t="s">
        <v>18</v>
      </c>
      <c r="N290">
        <v>5</v>
      </c>
      <c r="O290">
        <v>4.9000000000000004</v>
      </c>
      <c r="P290">
        <v>490.51</v>
      </c>
      <c r="Q290">
        <f t="shared" si="25"/>
        <v>490.51</v>
      </c>
      <c r="R290">
        <f t="shared" si="26"/>
        <v>0</v>
      </c>
    </row>
    <row r="291" spans="1:18" x14ac:dyDescent="0.35">
      <c r="A291">
        <v>10290</v>
      </c>
      <c r="B291" t="s">
        <v>192</v>
      </c>
      <c r="C291" s="1">
        <f t="shared" si="24"/>
        <v>44851</v>
      </c>
      <c r="D291">
        <v>1996</v>
      </c>
      <c r="E291" t="s">
        <v>19</v>
      </c>
      <c r="F291" t="str">
        <f t="shared" si="27"/>
        <v>Electronics</v>
      </c>
      <c r="G291" t="s">
        <v>13</v>
      </c>
      <c r="H291" t="str">
        <f t="shared" si="28"/>
        <v>South</v>
      </c>
      <c r="I291">
        <v>1</v>
      </c>
      <c r="J291">
        <v>382.43</v>
      </c>
      <c r="K291">
        <v>0.2</v>
      </c>
      <c r="L291" t="str">
        <f t="shared" si="29"/>
        <v>Card</v>
      </c>
      <c r="M291" t="s">
        <v>16</v>
      </c>
      <c r="N291">
        <v>9</v>
      </c>
      <c r="O291">
        <v>1</v>
      </c>
      <c r="P291">
        <v>305.94</v>
      </c>
      <c r="Q291">
        <f t="shared" si="25"/>
        <v>305.94</v>
      </c>
      <c r="R291">
        <f t="shared" si="26"/>
        <v>0</v>
      </c>
    </row>
    <row r="292" spans="1:18" x14ac:dyDescent="0.35">
      <c r="A292">
        <v>10291</v>
      </c>
      <c r="B292" t="s">
        <v>193</v>
      </c>
      <c r="C292" s="1">
        <f t="shared" si="24"/>
        <v>44852</v>
      </c>
      <c r="D292">
        <v>1735</v>
      </c>
      <c r="E292" t="s">
        <v>19</v>
      </c>
      <c r="F292" t="str">
        <f t="shared" si="27"/>
        <v>Electronics</v>
      </c>
      <c r="G292" t="s">
        <v>20</v>
      </c>
      <c r="H292" t="str">
        <f t="shared" si="28"/>
        <v>West</v>
      </c>
      <c r="I292">
        <v>3</v>
      </c>
      <c r="J292">
        <v>506.6</v>
      </c>
      <c r="K292">
        <v>0.25</v>
      </c>
      <c r="L292" t="str">
        <f t="shared" si="29"/>
        <v>Wallet</v>
      </c>
      <c r="M292" t="s">
        <v>14</v>
      </c>
      <c r="N292">
        <v>6</v>
      </c>
      <c r="O292">
        <v>1.2</v>
      </c>
      <c r="P292">
        <v>1139.8499999999999</v>
      </c>
      <c r="Q292">
        <f t="shared" si="25"/>
        <v>1139.8499999999999</v>
      </c>
      <c r="R292">
        <f t="shared" si="26"/>
        <v>0</v>
      </c>
    </row>
    <row r="293" spans="1:18" x14ac:dyDescent="0.35">
      <c r="A293">
        <v>10292</v>
      </c>
      <c r="B293" t="s">
        <v>194</v>
      </c>
      <c r="C293" s="1">
        <f t="shared" si="24"/>
        <v>44853</v>
      </c>
      <c r="D293">
        <v>1224</v>
      </c>
      <c r="E293" t="s">
        <v>12</v>
      </c>
      <c r="F293" t="str">
        <f t="shared" si="27"/>
        <v>Beauty</v>
      </c>
      <c r="G293" t="s">
        <v>17</v>
      </c>
      <c r="H293" t="str">
        <f t="shared" si="28"/>
        <v>East</v>
      </c>
      <c r="I293">
        <v>7</v>
      </c>
      <c r="J293">
        <v>101.76</v>
      </c>
      <c r="K293">
        <v>0.19</v>
      </c>
      <c r="L293" t="str">
        <f t="shared" si="29"/>
        <v>Cod</v>
      </c>
      <c r="M293" t="s">
        <v>18</v>
      </c>
      <c r="N293">
        <v>6</v>
      </c>
      <c r="O293">
        <v>4.3</v>
      </c>
      <c r="P293">
        <v>576.98</v>
      </c>
      <c r="Q293">
        <f t="shared" si="25"/>
        <v>576.98</v>
      </c>
      <c r="R293">
        <f t="shared" si="26"/>
        <v>0</v>
      </c>
    </row>
    <row r="294" spans="1:18" x14ac:dyDescent="0.35">
      <c r="A294">
        <v>10293</v>
      </c>
      <c r="B294" t="s">
        <v>195</v>
      </c>
      <c r="C294" s="1">
        <f t="shared" si="24"/>
        <v>44854</v>
      </c>
      <c r="D294">
        <v>1384</v>
      </c>
      <c r="E294" t="s">
        <v>19</v>
      </c>
      <c r="F294" t="str">
        <f t="shared" si="27"/>
        <v>Electronics</v>
      </c>
      <c r="G294" t="s">
        <v>21</v>
      </c>
      <c r="H294" t="str">
        <f t="shared" si="28"/>
        <v>North</v>
      </c>
      <c r="I294">
        <v>4</v>
      </c>
      <c r="J294">
        <v>515.37</v>
      </c>
      <c r="K294">
        <v>0.28000000000000003</v>
      </c>
      <c r="L294" t="str">
        <f t="shared" si="29"/>
        <v>Cod</v>
      </c>
      <c r="M294" t="s">
        <v>18</v>
      </c>
      <c r="N294">
        <v>7</v>
      </c>
      <c r="O294">
        <v>2</v>
      </c>
      <c r="P294">
        <v>1484.27</v>
      </c>
      <c r="Q294">
        <f t="shared" si="25"/>
        <v>1484.27</v>
      </c>
      <c r="R294">
        <f t="shared" si="26"/>
        <v>0</v>
      </c>
    </row>
    <row r="295" spans="1:18" x14ac:dyDescent="0.35">
      <c r="A295">
        <v>10294</v>
      </c>
      <c r="B295" t="s">
        <v>196</v>
      </c>
      <c r="C295" s="1">
        <f t="shared" si="24"/>
        <v>44855</v>
      </c>
      <c r="D295">
        <v>1402</v>
      </c>
      <c r="E295" t="s">
        <v>12</v>
      </c>
      <c r="F295" t="str">
        <f t="shared" si="27"/>
        <v>Beauty</v>
      </c>
      <c r="G295" t="s">
        <v>17</v>
      </c>
      <c r="H295" t="str">
        <f t="shared" si="28"/>
        <v>East</v>
      </c>
      <c r="I295">
        <v>2</v>
      </c>
      <c r="J295">
        <v>409.96</v>
      </c>
      <c r="K295">
        <v>0.1</v>
      </c>
      <c r="L295" t="str">
        <f t="shared" si="29"/>
        <v>Card</v>
      </c>
      <c r="M295" t="s">
        <v>16</v>
      </c>
      <c r="N295">
        <v>11</v>
      </c>
      <c r="O295">
        <v>4.5999999999999996</v>
      </c>
      <c r="P295">
        <v>737.93</v>
      </c>
      <c r="Q295">
        <f t="shared" si="25"/>
        <v>737.93</v>
      </c>
      <c r="R295">
        <f t="shared" si="26"/>
        <v>0</v>
      </c>
    </row>
    <row r="296" spans="1:18" x14ac:dyDescent="0.35">
      <c r="A296">
        <v>10295</v>
      </c>
      <c r="B296" t="s">
        <v>197</v>
      </c>
      <c r="C296" s="1">
        <f t="shared" si="24"/>
        <v>44856</v>
      </c>
      <c r="D296">
        <v>1637</v>
      </c>
      <c r="E296" t="s">
        <v>15</v>
      </c>
      <c r="F296" t="str">
        <f t="shared" si="27"/>
        <v>Clothing</v>
      </c>
      <c r="G296" t="s">
        <v>17</v>
      </c>
      <c r="H296" t="str">
        <f t="shared" si="28"/>
        <v>East</v>
      </c>
      <c r="I296">
        <v>5</v>
      </c>
      <c r="J296">
        <v>114.59</v>
      </c>
      <c r="K296">
        <v>0.06</v>
      </c>
      <c r="L296" t="str">
        <f t="shared" si="29"/>
        <v>Card</v>
      </c>
      <c r="M296" t="s">
        <v>16</v>
      </c>
      <c r="N296">
        <v>5</v>
      </c>
      <c r="O296">
        <v>2.2000000000000002</v>
      </c>
      <c r="P296">
        <v>538.57000000000005</v>
      </c>
      <c r="Q296">
        <f t="shared" si="25"/>
        <v>538.57000000000005</v>
      </c>
      <c r="R296">
        <f t="shared" si="26"/>
        <v>0</v>
      </c>
    </row>
    <row r="297" spans="1:18" x14ac:dyDescent="0.35">
      <c r="A297">
        <v>10296</v>
      </c>
      <c r="B297" t="s">
        <v>198</v>
      </c>
      <c r="C297" s="1">
        <f t="shared" si="24"/>
        <v>44857</v>
      </c>
      <c r="D297">
        <v>1129</v>
      </c>
      <c r="E297" t="s">
        <v>15</v>
      </c>
      <c r="F297" t="str">
        <f t="shared" si="27"/>
        <v>Clothing</v>
      </c>
      <c r="G297" t="s">
        <v>13</v>
      </c>
      <c r="H297" t="str">
        <f t="shared" si="28"/>
        <v>South</v>
      </c>
      <c r="I297">
        <v>7</v>
      </c>
      <c r="J297">
        <v>126.01</v>
      </c>
      <c r="K297">
        <v>0.02</v>
      </c>
      <c r="L297" t="str">
        <f t="shared" si="29"/>
        <v>Cod</v>
      </c>
      <c r="M297" t="s">
        <v>18</v>
      </c>
      <c r="N297">
        <v>3</v>
      </c>
      <c r="O297">
        <v>1.3</v>
      </c>
      <c r="P297">
        <v>864.43</v>
      </c>
      <c r="Q297">
        <f t="shared" si="25"/>
        <v>864.43</v>
      </c>
      <c r="R297">
        <f t="shared" si="26"/>
        <v>0</v>
      </c>
    </row>
    <row r="298" spans="1:18" x14ac:dyDescent="0.35">
      <c r="A298">
        <v>10297</v>
      </c>
      <c r="B298" t="s">
        <v>199</v>
      </c>
      <c r="C298" s="1">
        <f t="shared" si="24"/>
        <v>44858</v>
      </c>
      <c r="D298">
        <v>1052</v>
      </c>
      <c r="E298" t="s">
        <v>15</v>
      </c>
      <c r="F298" t="str">
        <f t="shared" si="27"/>
        <v>Clothing</v>
      </c>
      <c r="G298" t="s">
        <v>13</v>
      </c>
      <c r="H298" t="str">
        <f t="shared" si="28"/>
        <v>South</v>
      </c>
      <c r="I298">
        <v>4</v>
      </c>
      <c r="J298">
        <v>557</v>
      </c>
      <c r="K298">
        <v>0.2</v>
      </c>
      <c r="L298" t="str">
        <f t="shared" si="29"/>
        <v>Card</v>
      </c>
      <c r="M298" t="s">
        <v>16</v>
      </c>
      <c r="N298">
        <v>3</v>
      </c>
      <c r="O298">
        <v>1</v>
      </c>
      <c r="P298">
        <v>1782.4</v>
      </c>
      <c r="Q298">
        <f t="shared" si="25"/>
        <v>1782.4</v>
      </c>
      <c r="R298">
        <f t="shared" si="26"/>
        <v>0</v>
      </c>
    </row>
    <row r="299" spans="1:18" x14ac:dyDescent="0.35">
      <c r="A299">
        <v>10298</v>
      </c>
      <c r="B299" t="s">
        <v>200</v>
      </c>
      <c r="C299" s="1">
        <f t="shared" si="24"/>
        <v>44859</v>
      </c>
      <c r="D299">
        <v>1683</v>
      </c>
      <c r="E299" t="s">
        <v>15</v>
      </c>
      <c r="F299" t="str">
        <f t="shared" si="27"/>
        <v>Clothing</v>
      </c>
      <c r="G299" t="s">
        <v>13</v>
      </c>
      <c r="H299" t="str">
        <f t="shared" si="28"/>
        <v>South</v>
      </c>
      <c r="I299">
        <v>3</v>
      </c>
      <c r="J299">
        <v>33.85</v>
      </c>
      <c r="K299">
        <v>0.24</v>
      </c>
      <c r="L299" t="str">
        <f t="shared" si="29"/>
        <v>Cod</v>
      </c>
      <c r="M299" t="s">
        <v>18</v>
      </c>
      <c r="N299">
        <v>5</v>
      </c>
      <c r="O299">
        <v>2.1</v>
      </c>
      <c r="P299">
        <v>77.180000000000007</v>
      </c>
      <c r="Q299">
        <f t="shared" si="25"/>
        <v>77.180000000000007</v>
      </c>
      <c r="R299">
        <f t="shared" si="26"/>
        <v>0</v>
      </c>
    </row>
    <row r="300" spans="1:18" x14ac:dyDescent="0.35">
      <c r="A300">
        <v>10299</v>
      </c>
      <c r="B300" t="s">
        <v>201</v>
      </c>
      <c r="C300" s="1">
        <f t="shared" si="24"/>
        <v>44860</v>
      </c>
      <c r="D300">
        <v>1729</v>
      </c>
      <c r="E300" t="s">
        <v>29</v>
      </c>
      <c r="F300" t="str">
        <f t="shared" si="27"/>
        <v>Home</v>
      </c>
      <c r="G300" t="s">
        <v>21</v>
      </c>
      <c r="H300" t="str">
        <f t="shared" si="28"/>
        <v>North</v>
      </c>
      <c r="I300">
        <v>4</v>
      </c>
      <c r="J300">
        <v>285.58</v>
      </c>
      <c r="K300">
        <v>0.11</v>
      </c>
      <c r="L300" t="str">
        <f t="shared" si="29"/>
        <v>Card</v>
      </c>
      <c r="M300" t="s">
        <v>16</v>
      </c>
      <c r="N300">
        <v>4</v>
      </c>
      <c r="O300">
        <v>2.9</v>
      </c>
      <c r="P300">
        <v>1016.66</v>
      </c>
      <c r="Q300">
        <f t="shared" si="25"/>
        <v>1016.66</v>
      </c>
      <c r="R300">
        <f t="shared" si="26"/>
        <v>0</v>
      </c>
    </row>
    <row r="301" spans="1:18" x14ac:dyDescent="0.35">
      <c r="A301">
        <v>10300</v>
      </c>
      <c r="B301" t="s">
        <v>202</v>
      </c>
      <c r="C301" s="1">
        <f t="shared" si="24"/>
        <v>44861</v>
      </c>
      <c r="D301">
        <v>1671</v>
      </c>
      <c r="E301" t="s">
        <v>19</v>
      </c>
      <c r="F301" t="str">
        <f t="shared" si="27"/>
        <v>Electronics</v>
      </c>
      <c r="G301" t="s">
        <v>21</v>
      </c>
      <c r="H301" t="str">
        <f t="shared" si="28"/>
        <v>North</v>
      </c>
      <c r="I301">
        <v>3</v>
      </c>
      <c r="J301">
        <v>198.38</v>
      </c>
      <c r="K301">
        <v>0.21</v>
      </c>
      <c r="L301" t="str">
        <f t="shared" si="29"/>
        <v>Cod</v>
      </c>
      <c r="M301" t="s">
        <v>18</v>
      </c>
      <c r="N301">
        <v>5</v>
      </c>
      <c r="O301">
        <v>1</v>
      </c>
      <c r="P301">
        <v>470.16</v>
      </c>
      <c r="Q301">
        <f t="shared" si="25"/>
        <v>470.16</v>
      </c>
      <c r="R301">
        <f t="shared" si="26"/>
        <v>0</v>
      </c>
    </row>
    <row r="302" spans="1:18" x14ac:dyDescent="0.35">
      <c r="A302">
        <v>10301</v>
      </c>
      <c r="B302" t="s">
        <v>203</v>
      </c>
      <c r="C302" s="1">
        <f t="shared" si="24"/>
        <v>44862</v>
      </c>
      <c r="D302">
        <v>1709</v>
      </c>
      <c r="E302" t="s">
        <v>15</v>
      </c>
      <c r="F302" t="str">
        <f t="shared" si="27"/>
        <v>Clothing</v>
      </c>
      <c r="G302" t="s">
        <v>21</v>
      </c>
      <c r="H302" t="str">
        <f t="shared" si="28"/>
        <v>North</v>
      </c>
      <c r="I302">
        <v>6</v>
      </c>
      <c r="J302">
        <v>404.07</v>
      </c>
      <c r="K302">
        <v>0.02</v>
      </c>
      <c r="L302" t="str">
        <f t="shared" si="29"/>
        <v>Cod</v>
      </c>
      <c r="M302" t="s">
        <v>18</v>
      </c>
      <c r="N302">
        <v>9</v>
      </c>
      <c r="O302">
        <v>3.3</v>
      </c>
      <c r="P302">
        <v>2375.9299999999998</v>
      </c>
      <c r="Q302">
        <f t="shared" si="25"/>
        <v>2375.9299999999998</v>
      </c>
      <c r="R302">
        <f t="shared" si="26"/>
        <v>0</v>
      </c>
    </row>
    <row r="303" spans="1:18" x14ac:dyDescent="0.35">
      <c r="A303">
        <v>10302</v>
      </c>
      <c r="B303" t="s">
        <v>204</v>
      </c>
      <c r="C303" s="1">
        <f t="shared" si="24"/>
        <v>44863</v>
      </c>
      <c r="D303">
        <v>1415</v>
      </c>
      <c r="E303" t="s">
        <v>12</v>
      </c>
      <c r="F303" t="str">
        <f t="shared" si="27"/>
        <v>Beauty</v>
      </c>
      <c r="G303" t="s">
        <v>17</v>
      </c>
      <c r="H303" t="str">
        <f t="shared" si="28"/>
        <v>East</v>
      </c>
      <c r="I303">
        <v>1</v>
      </c>
      <c r="J303">
        <v>506.18</v>
      </c>
      <c r="K303">
        <v>0.03</v>
      </c>
      <c r="L303" t="str">
        <f t="shared" si="29"/>
        <v>Card</v>
      </c>
      <c r="M303" t="s">
        <v>16</v>
      </c>
      <c r="N303">
        <v>5</v>
      </c>
      <c r="O303">
        <v>2.2999999999999998</v>
      </c>
      <c r="P303">
        <v>490.99</v>
      </c>
      <c r="Q303">
        <f t="shared" si="25"/>
        <v>490.99</v>
      </c>
      <c r="R303">
        <f t="shared" si="26"/>
        <v>0</v>
      </c>
    </row>
    <row r="304" spans="1:18" x14ac:dyDescent="0.35">
      <c r="A304">
        <v>10303</v>
      </c>
      <c r="B304" t="s">
        <v>205</v>
      </c>
      <c r="C304" s="1">
        <f t="shared" si="24"/>
        <v>44864</v>
      </c>
      <c r="D304">
        <v>1246</v>
      </c>
      <c r="E304" t="s">
        <v>12</v>
      </c>
      <c r="F304" t="str">
        <f t="shared" si="27"/>
        <v>Beauty</v>
      </c>
      <c r="G304" t="s">
        <v>13</v>
      </c>
      <c r="H304" t="str">
        <f t="shared" si="28"/>
        <v>South</v>
      </c>
      <c r="I304">
        <v>7</v>
      </c>
      <c r="J304">
        <v>225.82</v>
      </c>
      <c r="K304">
        <v>0.25</v>
      </c>
      <c r="L304" t="str">
        <f t="shared" si="29"/>
        <v>Cod</v>
      </c>
      <c r="M304" t="s">
        <v>18</v>
      </c>
      <c r="N304">
        <v>4</v>
      </c>
      <c r="O304">
        <v>2.6</v>
      </c>
      <c r="P304">
        <v>1185.56</v>
      </c>
      <c r="Q304">
        <f t="shared" si="25"/>
        <v>1185.56</v>
      </c>
      <c r="R304">
        <f t="shared" si="26"/>
        <v>0</v>
      </c>
    </row>
    <row r="305" spans="1:18" x14ac:dyDescent="0.35">
      <c r="A305">
        <v>10304</v>
      </c>
      <c r="B305" t="s">
        <v>206</v>
      </c>
      <c r="C305" s="1">
        <f t="shared" si="24"/>
        <v>44865</v>
      </c>
      <c r="D305">
        <v>1835</v>
      </c>
      <c r="E305" t="s">
        <v>12</v>
      </c>
      <c r="F305" t="str">
        <f t="shared" si="27"/>
        <v>Beauty</v>
      </c>
      <c r="G305" t="s">
        <v>20</v>
      </c>
      <c r="H305" t="str">
        <f t="shared" si="28"/>
        <v>West</v>
      </c>
      <c r="I305">
        <v>1</v>
      </c>
      <c r="J305">
        <v>264.74</v>
      </c>
      <c r="K305">
        <v>0.13</v>
      </c>
      <c r="L305" t="str">
        <f t="shared" si="29"/>
        <v>Card</v>
      </c>
      <c r="M305" t="s">
        <v>16</v>
      </c>
      <c r="N305">
        <v>4</v>
      </c>
      <c r="O305">
        <v>2</v>
      </c>
      <c r="P305">
        <v>230.32</v>
      </c>
      <c r="Q305">
        <f t="shared" si="25"/>
        <v>230.32</v>
      </c>
      <c r="R305">
        <f t="shared" si="26"/>
        <v>0</v>
      </c>
    </row>
    <row r="306" spans="1:18" x14ac:dyDescent="0.35">
      <c r="A306">
        <v>10305</v>
      </c>
      <c r="B306" s="1">
        <v>44572</v>
      </c>
      <c r="C306" s="1">
        <f t="shared" si="24"/>
        <v>44866</v>
      </c>
      <c r="D306">
        <v>1438</v>
      </c>
      <c r="E306" t="s">
        <v>15</v>
      </c>
      <c r="F306" t="str">
        <f t="shared" si="27"/>
        <v>Clothing</v>
      </c>
      <c r="G306" t="s">
        <v>17</v>
      </c>
      <c r="H306" t="str">
        <f t="shared" si="28"/>
        <v>East</v>
      </c>
      <c r="I306">
        <v>4</v>
      </c>
      <c r="J306">
        <v>589.41999999999996</v>
      </c>
      <c r="K306">
        <v>0.23</v>
      </c>
      <c r="L306" t="str">
        <f t="shared" si="29"/>
        <v>Card</v>
      </c>
      <c r="M306" t="s">
        <v>16</v>
      </c>
      <c r="N306">
        <v>1</v>
      </c>
      <c r="O306">
        <v>3.1</v>
      </c>
      <c r="P306">
        <v>1815.41</v>
      </c>
      <c r="Q306">
        <f t="shared" si="25"/>
        <v>1815.41</v>
      </c>
      <c r="R306">
        <f t="shared" si="26"/>
        <v>0</v>
      </c>
    </row>
    <row r="307" spans="1:18" x14ac:dyDescent="0.35">
      <c r="A307">
        <v>10306</v>
      </c>
      <c r="B307" s="1">
        <v>44603</v>
      </c>
      <c r="C307" s="1">
        <f t="shared" si="24"/>
        <v>44867</v>
      </c>
      <c r="D307">
        <v>1202</v>
      </c>
      <c r="E307" t="s">
        <v>29</v>
      </c>
      <c r="F307" t="str">
        <f t="shared" si="27"/>
        <v>Home</v>
      </c>
      <c r="G307" t="s">
        <v>21</v>
      </c>
      <c r="H307" t="str">
        <f t="shared" si="28"/>
        <v>North</v>
      </c>
      <c r="I307">
        <v>2</v>
      </c>
      <c r="J307">
        <v>473.59</v>
      </c>
      <c r="K307">
        <v>0.28999999999999998</v>
      </c>
      <c r="L307" t="str">
        <f t="shared" si="29"/>
        <v>Card</v>
      </c>
      <c r="M307" t="s">
        <v>16</v>
      </c>
      <c r="N307">
        <v>10</v>
      </c>
      <c r="O307">
        <v>1.9</v>
      </c>
      <c r="P307">
        <v>672.5</v>
      </c>
      <c r="Q307">
        <f t="shared" si="25"/>
        <v>672.5</v>
      </c>
      <c r="R307">
        <f t="shared" si="26"/>
        <v>0</v>
      </c>
    </row>
    <row r="308" spans="1:18" x14ac:dyDescent="0.35">
      <c r="A308">
        <v>10307</v>
      </c>
      <c r="B308" s="1">
        <v>44631</v>
      </c>
      <c r="C308" s="1">
        <f t="shared" si="24"/>
        <v>44868</v>
      </c>
      <c r="D308">
        <v>1183</v>
      </c>
      <c r="E308" t="s">
        <v>15</v>
      </c>
      <c r="F308" t="str">
        <f t="shared" si="27"/>
        <v>Clothing</v>
      </c>
      <c r="G308" t="s">
        <v>20</v>
      </c>
      <c r="H308" t="str">
        <f t="shared" si="28"/>
        <v>West</v>
      </c>
      <c r="I308">
        <v>5</v>
      </c>
      <c r="J308">
        <v>539.86</v>
      </c>
      <c r="K308">
        <v>0.3</v>
      </c>
      <c r="L308" t="str">
        <f t="shared" si="29"/>
        <v>Card</v>
      </c>
      <c r="M308" t="s">
        <v>16</v>
      </c>
      <c r="N308">
        <v>4</v>
      </c>
      <c r="O308">
        <v>1.5</v>
      </c>
      <c r="P308">
        <v>1889.51</v>
      </c>
      <c r="Q308">
        <f t="shared" si="25"/>
        <v>1889.51</v>
      </c>
      <c r="R308">
        <f t="shared" si="26"/>
        <v>0</v>
      </c>
    </row>
    <row r="309" spans="1:18" x14ac:dyDescent="0.35">
      <c r="A309">
        <v>10308</v>
      </c>
      <c r="B309" s="1">
        <v>44662</v>
      </c>
      <c r="C309" s="1">
        <f t="shared" si="24"/>
        <v>44869</v>
      </c>
      <c r="D309">
        <v>1122</v>
      </c>
      <c r="E309" t="s">
        <v>15</v>
      </c>
      <c r="F309" t="str">
        <f t="shared" si="27"/>
        <v>Clothing</v>
      </c>
      <c r="G309" t="s">
        <v>20</v>
      </c>
      <c r="H309" t="str">
        <f t="shared" si="28"/>
        <v>West</v>
      </c>
      <c r="I309">
        <v>3</v>
      </c>
      <c r="J309">
        <v>271.68</v>
      </c>
      <c r="K309">
        <v>0.06</v>
      </c>
      <c r="L309" t="str">
        <f t="shared" si="29"/>
        <v>Card</v>
      </c>
      <c r="M309" t="s">
        <v>16</v>
      </c>
      <c r="N309">
        <v>4</v>
      </c>
      <c r="O309">
        <v>4.5999999999999996</v>
      </c>
      <c r="P309">
        <v>766.14</v>
      </c>
      <c r="Q309">
        <f t="shared" si="25"/>
        <v>766.14</v>
      </c>
      <c r="R309">
        <f t="shared" si="26"/>
        <v>0</v>
      </c>
    </row>
    <row r="310" spans="1:18" x14ac:dyDescent="0.35">
      <c r="A310">
        <v>10309</v>
      </c>
      <c r="B310" s="1">
        <v>44692</v>
      </c>
      <c r="C310" s="1">
        <f t="shared" si="24"/>
        <v>44870</v>
      </c>
      <c r="D310">
        <v>1400</v>
      </c>
      <c r="E310" t="s">
        <v>19</v>
      </c>
      <c r="F310" t="str">
        <f t="shared" si="27"/>
        <v>Electronics</v>
      </c>
      <c r="G310" t="s">
        <v>13</v>
      </c>
      <c r="H310" t="str">
        <f t="shared" si="28"/>
        <v>South</v>
      </c>
      <c r="I310">
        <v>5</v>
      </c>
      <c r="J310">
        <v>151.93</v>
      </c>
      <c r="K310">
        <v>0.17</v>
      </c>
      <c r="L310" t="str">
        <f t="shared" si="29"/>
        <v>Wallet</v>
      </c>
      <c r="M310" t="s">
        <v>14</v>
      </c>
      <c r="N310">
        <v>9</v>
      </c>
      <c r="O310">
        <v>2.6</v>
      </c>
      <c r="P310">
        <v>630.51</v>
      </c>
      <c r="Q310">
        <f t="shared" si="25"/>
        <v>630.51</v>
      </c>
      <c r="R310">
        <f t="shared" si="26"/>
        <v>0</v>
      </c>
    </row>
    <row r="311" spans="1:18" x14ac:dyDescent="0.35">
      <c r="A311">
        <v>10310</v>
      </c>
      <c r="B311" s="1">
        <v>44723</v>
      </c>
      <c r="C311" s="1">
        <f t="shared" si="24"/>
        <v>44871</v>
      </c>
      <c r="D311">
        <v>1766</v>
      </c>
      <c r="E311" t="s">
        <v>15</v>
      </c>
      <c r="F311" t="str">
        <f t="shared" si="27"/>
        <v>Clothing</v>
      </c>
      <c r="G311" t="s">
        <v>20</v>
      </c>
      <c r="H311" t="str">
        <f t="shared" si="28"/>
        <v>West</v>
      </c>
      <c r="I311">
        <v>1</v>
      </c>
      <c r="J311">
        <v>255.94</v>
      </c>
      <c r="K311">
        <v>0.26</v>
      </c>
      <c r="L311" t="str">
        <f t="shared" si="29"/>
        <v>Card</v>
      </c>
      <c r="M311" t="s">
        <v>16</v>
      </c>
      <c r="N311">
        <v>11</v>
      </c>
      <c r="O311">
        <v>1.3</v>
      </c>
      <c r="P311">
        <v>189.4</v>
      </c>
      <c r="Q311">
        <f t="shared" si="25"/>
        <v>189.4</v>
      </c>
      <c r="R311">
        <f t="shared" si="26"/>
        <v>0</v>
      </c>
    </row>
    <row r="312" spans="1:18" x14ac:dyDescent="0.35">
      <c r="A312">
        <v>10311</v>
      </c>
      <c r="B312" s="1">
        <v>44753</v>
      </c>
      <c r="C312" s="1">
        <f t="shared" si="24"/>
        <v>44872</v>
      </c>
      <c r="D312">
        <v>1293</v>
      </c>
      <c r="E312" t="s">
        <v>19</v>
      </c>
      <c r="F312" t="str">
        <f t="shared" si="27"/>
        <v>Electronics</v>
      </c>
      <c r="G312" t="s">
        <v>21</v>
      </c>
      <c r="H312" t="str">
        <f t="shared" si="28"/>
        <v>North</v>
      </c>
      <c r="I312">
        <v>2</v>
      </c>
      <c r="J312">
        <v>433.91</v>
      </c>
      <c r="K312">
        <v>0.27</v>
      </c>
      <c r="L312" t="str">
        <f t="shared" si="29"/>
        <v>Card</v>
      </c>
      <c r="M312" t="s">
        <v>16</v>
      </c>
      <c r="N312">
        <v>4</v>
      </c>
      <c r="O312">
        <v>1.9</v>
      </c>
      <c r="P312">
        <v>633.51</v>
      </c>
      <c r="Q312">
        <f t="shared" si="25"/>
        <v>633.51</v>
      </c>
      <c r="R312">
        <f t="shared" si="26"/>
        <v>0</v>
      </c>
    </row>
    <row r="313" spans="1:18" x14ac:dyDescent="0.35">
      <c r="A313">
        <v>10312</v>
      </c>
      <c r="B313" s="1">
        <v>44784</v>
      </c>
      <c r="C313" s="1">
        <f t="shared" si="24"/>
        <v>44873</v>
      </c>
      <c r="D313">
        <v>1279</v>
      </c>
      <c r="E313" t="s">
        <v>19</v>
      </c>
      <c r="F313" t="str">
        <f t="shared" si="27"/>
        <v>Electronics</v>
      </c>
      <c r="G313" t="s">
        <v>13</v>
      </c>
      <c r="H313" t="str">
        <f t="shared" si="28"/>
        <v>South</v>
      </c>
      <c r="I313">
        <v>2</v>
      </c>
      <c r="J313">
        <v>79.02</v>
      </c>
      <c r="K313">
        <v>0.27</v>
      </c>
      <c r="L313" t="str">
        <f t="shared" si="29"/>
        <v>Card</v>
      </c>
      <c r="M313" t="s">
        <v>16</v>
      </c>
      <c r="N313">
        <v>7</v>
      </c>
      <c r="O313">
        <v>2.2000000000000002</v>
      </c>
      <c r="P313">
        <v>115.37</v>
      </c>
      <c r="Q313">
        <f t="shared" si="25"/>
        <v>115.37</v>
      </c>
      <c r="R313">
        <f t="shared" si="26"/>
        <v>0</v>
      </c>
    </row>
    <row r="314" spans="1:18" x14ac:dyDescent="0.35">
      <c r="A314">
        <v>10313</v>
      </c>
      <c r="B314" s="1">
        <v>44815</v>
      </c>
      <c r="C314" s="1">
        <f t="shared" si="24"/>
        <v>44874</v>
      </c>
      <c r="D314">
        <v>1836</v>
      </c>
      <c r="E314" t="s">
        <v>12</v>
      </c>
      <c r="F314" t="str">
        <f t="shared" si="27"/>
        <v>Beauty</v>
      </c>
      <c r="G314" t="s">
        <v>20</v>
      </c>
      <c r="H314" t="str">
        <f t="shared" si="28"/>
        <v>West</v>
      </c>
      <c r="I314">
        <v>5</v>
      </c>
      <c r="J314">
        <v>173.22</v>
      </c>
      <c r="K314">
        <v>0.08</v>
      </c>
      <c r="L314" t="str">
        <f t="shared" si="29"/>
        <v>Card</v>
      </c>
      <c r="M314" t="s">
        <v>16</v>
      </c>
      <c r="N314">
        <v>1</v>
      </c>
      <c r="O314">
        <v>4.0999999999999996</v>
      </c>
      <c r="P314">
        <v>796.81</v>
      </c>
      <c r="Q314">
        <f t="shared" si="25"/>
        <v>796.81</v>
      </c>
      <c r="R314">
        <f t="shared" si="26"/>
        <v>0</v>
      </c>
    </row>
    <row r="315" spans="1:18" x14ac:dyDescent="0.35">
      <c r="A315">
        <v>10314</v>
      </c>
      <c r="B315" s="1">
        <v>44845</v>
      </c>
      <c r="C315" s="1">
        <f t="shared" si="24"/>
        <v>44875</v>
      </c>
      <c r="D315">
        <v>1883</v>
      </c>
      <c r="E315" t="s">
        <v>19</v>
      </c>
      <c r="F315" t="str">
        <f t="shared" si="27"/>
        <v>Electronics</v>
      </c>
      <c r="G315" t="s">
        <v>13</v>
      </c>
      <c r="H315" t="str">
        <f t="shared" si="28"/>
        <v>South</v>
      </c>
      <c r="I315">
        <v>1</v>
      </c>
      <c r="J315">
        <v>42.28</v>
      </c>
      <c r="K315">
        <v>7.0000000000000007E-2</v>
      </c>
      <c r="L315" t="str">
        <f t="shared" si="29"/>
        <v>Cod</v>
      </c>
      <c r="M315" t="s">
        <v>18</v>
      </c>
      <c r="N315">
        <v>7</v>
      </c>
      <c r="O315">
        <v>1.1000000000000001</v>
      </c>
      <c r="P315">
        <v>39.32</v>
      </c>
      <c r="Q315">
        <f t="shared" si="25"/>
        <v>39.32</v>
      </c>
      <c r="R315">
        <f t="shared" si="26"/>
        <v>0</v>
      </c>
    </row>
    <row r="316" spans="1:18" x14ac:dyDescent="0.35">
      <c r="A316">
        <v>10315</v>
      </c>
      <c r="B316" s="1">
        <v>44876</v>
      </c>
      <c r="C316" s="1">
        <f t="shared" si="24"/>
        <v>44876</v>
      </c>
      <c r="D316">
        <v>1609</v>
      </c>
      <c r="E316" t="s">
        <v>19</v>
      </c>
      <c r="F316" t="str">
        <f t="shared" si="27"/>
        <v>Electronics</v>
      </c>
      <c r="G316" t="s">
        <v>20</v>
      </c>
      <c r="H316" t="str">
        <f t="shared" si="28"/>
        <v>West</v>
      </c>
      <c r="I316">
        <v>5</v>
      </c>
      <c r="J316">
        <v>267.92</v>
      </c>
      <c r="K316">
        <v>0.21</v>
      </c>
      <c r="L316" t="str">
        <f t="shared" si="29"/>
        <v>Card</v>
      </c>
      <c r="M316" t="s">
        <v>16</v>
      </c>
      <c r="N316">
        <v>2</v>
      </c>
      <c r="O316">
        <v>2.9</v>
      </c>
      <c r="P316">
        <v>1058.28</v>
      </c>
      <c r="Q316">
        <f t="shared" si="25"/>
        <v>1058.28</v>
      </c>
      <c r="R316">
        <f t="shared" si="26"/>
        <v>0</v>
      </c>
    </row>
    <row r="317" spans="1:18" x14ac:dyDescent="0.35">
      <c r="A317">
        <v>10316</v>
      </c>
      <c r="B317" s="1">
        <v>44906</v>
      </c>
      <c r="C317" s="1">
        <f t="shared" si="24"/>
        <v>44877</v>
      </c>
      <c r="D317">
        <v>1197</v>
      </c>
      <c r="E317" t="s">
        <v>19</v>
      </c>
      <c r="F317" t="str">
        <f t="shared" si="27"/>
        <v>Electronics</v>
      </c>
      <c r="G317" t="s">
        <v>17</v>
      </c>
      <c r="H317" t="str">
        <f t="shared" si="28"/>
        <v>East</v>
      </c>
      <c r="I317">
        <v>4</v>
      </c>
      <c r="J317">
        <v>499.06</v>
      </c>
      <c r="K317">
        <v>0.26</v>
      </c>
      <c r="L317" t="str">
        <f t="shared" si="29"/>
        <v>Cod</v>
      </c>
      <c r="M317" t="s">
        <v>18</v>
      </c>
      <c r="N317">
        <v>11</v>
      </c>
      <c r="O317">
        <v>2.6</v>
      </c>
      <c r="P317">
        <v>1477.22</v>
      </c>
      <c r="Q317">
        <f t="shared" si="25"/>
        <v>1477.22</v>
      </c>
      <c r="R317">
        <f t="shared" si="26"/>
        <v>0</v>
      </c>
    </row>
    <row r="318" spans="1:18" x14ac:dyDescent="0.35">
      <c r="A318">
        <v>10317</v>
      </c>
      <c r="B318" t="s">
        <v>207</v>
      </c>
      <c r="C318" s="1">
        <f t="shared" si="24"/>
        <v>44878</v>
      </c>
      <c r="D318">
        <v>1981</v>
      </c>
      <c r="E318" t="s">
        <v>12</v>
      </c>
      <c r="F318" t="str">
        <f t="shared" si="27"/>
        <v>Beauty</v>
      </c>
      <c r="G318" t="s">
        <v>17</v>
      </c>
      <c r="H318" t="str">
        <f t="shared" si="28"/>
        <v>East</v>
      </c>
      <c r="I318">
        <v>2</v>
      </c>
      <c r="J318">
        <v>29.43</v>
      </c>
      <c r="K318">
        <v>0.11</v>
      </c>
      <c r="L318" t="str">
        <f t="shared" si="29"/>
        <v>Card</v>
      </c>
      <c r="M318" t="s">
        <v>16</v>
      </c>
      <c r="N318">
        <v>8</v>
      </c>
      <c r="O318">
        <v>4.9000000000000004</v>
      </c>
      <c r="P318">
        <v>52.39</v>
      </c>
      <c r="Q318">
        <f t="shared" si="25"/>
        <v>52.39</v>
      </c>
      <c r="R318">
        <f t="shared" si="26"/>
        <v>0</v>
      </c>
    </row>
    <row r="319" spans="1:18" x14ac:dyDescent="0.35">
      <c r="A319">
        <v>10318</v>
      </c>
      <c r="B319" t="s">
        <v>208</v>
      </c>
      <c r="C319" s="1">
        <f t="shared" si="24"/>
        <v>44879</v>
      </c>
      <c r="D319">
        <v>1906</v>
      </c>
      <c r="E319" t="s">
        <v>15</v>
      </c>
      <c r="F319" t="str">
        <f t="shared" si="27"/>
        <v>Clothing</v>
      </c>
      <c r="G319" t="s">
        <v>21</v>
      </c>
      <c r="H319" t="str">
        <f t="shared" si="28"/>
        <v>North</v>
      </c>
      <c r="I319">
        <v>2</v>
      </c>
      <c r="J319">
        <v>410.06</v>
      </c>
      <c r="K319">
        <v>0.04</v>
      </c>
      <c r="L319" t="str">
        <f t="shared" si="29"/>
        <v>Wallet</v>
      </c>
      <c r="M319" t="s">
        <v>14</v>
      </c>
      <c r="N319">
        <v>1</v>
      </c>
      <c r="O319">
        <v>1.7</v>
      </c>
      <c r="P319">
        <v>787.32</v>
      </c>
      <c r="Q319">
        <f t="shared" si="25"/>
        <v>787.32</v>
      </c>
      <c r="R319">
        <f t="shared" si="26"/>
        <v>0</v>
      </c>
    </row>
    <row r="320" spans="1:18" x14ac:dyDescent="0.35">
      <c r="A320">
        <v>10319</v>
      </c>
      <c r="B320" t="s">
        <v>209</v>
      </c>
      <c r="C320" s="1">
        <f t="shared" si="24"/>
        <v>44880</v>
      </c>
      <c r="D320">
        <v>1510</v>
      </c>
      <c r="E320" t="s">
        <v>15</v>
      </c>
      <c r="F320" t="str">
        <f t="shared" si="27"/>
        <v>Clothing</v>
      </c>
      <c r="G320" t="s">
        <v>17</v>
      </c>
      <c r="H320" t="str">
        <f t="shared" si="28"/>
        <v>East</v>
      </c>
      <c r="I320">
        <v>4</v>
      </c>
      <c r="J320">
        <v>560.51</v>
      </c>
      <c r="K320">
        <v>0.25</v>
      </c>
      <c r="L320" t="str">
        <f t="shared" si="29"/>
        <v>Card</v>
      </c>
      <c r="M320" t="s">
        <v>16</v>
      </c>
      <c r="N320">
        <v>10</v>
      </c>
      <c r="O320">
        <v>3.5</v>
      </c>
      <c r="P320">
        <v>1681.53</v>
      </c>
      <c r="Q320">
        <f t="shared" si="25"/>
        <v>1681.53</v>
      </c>
      <c r="R320">
        <f t="shared" si="26"/>
        <v>0</v>
      </c>
    </row>
    <row r="321" spans="1:18" x14ac:dyDescent="0.35">
      <c r="A321">
        <v>10320</v>
      </c>
      <c r="B321" t="s">
        <v>210</v>
      </c>
      <c r="C321" s="1">
        <f t="shared" si="24"/>
        <v>44881</v>
      </c>
      <c r="D321">
        <v>1751</v>
      </c>
      <c r="E321" t="s">
        <v>29</v>
      </c>
      <c r="F321" t="str">
        <f t="shared" si="27"/>
        <v>Home</v>
      </c>
      <c r="G321" t="s">
        <v>17</v>
      </c>
      <c r="H321" t="str">
        <f t="shared" si="28"/>
        <v>East</v>
      </c>
      <c r="I321">
        <v>1</v>
      </c>
      <c r="J321">
        <v>153.6</v>
      </c>
      <c r="K321">
        <v>0.1</v>
      </c>
      <c r="L321" t="str">
        <f t="shared" si="29"/>
        <v>Cod</v>
      </c>
      <c r="M321" t="s">
        <v>18</v>
      </c>
      <c r="N321">
        <v>3</v>
      </c>
      <c r="O321">
        <v>1.8</v>
      </c>
      <c r="P321">
        <v>138.24</v>
      </c>
      <c r="Q321">
        <f t="shared" si="25"/>
        <v>138.24</v>
      </c>
      <c r="R321">
        <f t="shared" si="26"/>
        <v>0</v>
      </c>
    </row>
    <row r="322" spans="1:18" x14ac:dyDescent="0.35">
      <c r="A322">
        <v>10321</v>
      </c>
      <c r="B322" t="s">
        <v>211</v>
      </c>
      <c r="C322" s="1">
        <f t="shared" ref="C322:C385" si="30">DATE(2022,1,1)+A322-10001</f>
        <v>44882</v>
      </c>
      <c r="D322">
        <v>1143</v>
      </c>
      <c r="E322" t="s">
        <v>29</v>
      </c>
      <c r="F322" t="str">
        <f t="shared" si="27"/>
        <v>Home</v>
      </c>
      <c r="G322" t="s">
        <v>17</v>
      </c>
      <c r="H322" t="str">
        <f t="shared" si="28"/>
        <v>East</v>
      </c>
      <c r="I322">
        <v>2</v>
      </c>
      <c r="J322">
        <v>420.78</v>
      </c>
      <c r="K322">
        <v>0.06</v>
      </c>
      <c r="L322" t="str">
        <f t="shared" si="29"/>
        <v>Cod</v>
      </c>
      <c r="M322" t="s">
        <v>18</v>
      </c>
      <c r="N322">
        <v>8</v>
      </c>
      <c r="O322">
        <v>3.2</v>
      </c>
      <c r="P322">
        <v>791.07</v>
      </c>
      <c r="Q322">
        <f t="shared" ref="Q322:Q385" si="31">ROUND(I322*J322*(1-K322),2)</f>
        <v>791.07</v>
      </c>
      <c r="R322">
        <f t="shared" ref="R322:R385" si="32">ROUND(P322-Q322,2)</f>
        <v>0</v>
      </c>
    </row>
    <row r="323" spans="1:18" x14ac:dyDescent="0.35">
      <c r="A323">
        <v>10322</v>
      </c>
      <c r="B323" t="s">
        <v>212</v>
      </c>
      <c r="C323" s="1">
        <f t="shared" si="30"/>
        <v>44883</v>
      </c>
      <c r="D323">
        <v>1608</v>
      </c>
      <c r="E323" t="s">
        <v>19</v>
      </c>
      <c r="F323" t="str">
        <f t="shared" ref="F323:F386" si="33">TRIM(PROPER(E323))</f>
        <v>Electronics</v>
      </c>
      <c r="G323" t="s">
        <v>20</v>
      </c>
      <c r="H323" t="str">
        <f t="shared" ref="H323:H386" si="34">TRIM(PROPER(G323))</f>
        <v>West</v>
      </c>
      <c r="I323">
        <v>7</v>
      </c>
      <c r="J323">
        <v>585.42999999999995</v>
      </c>
      <c r="K323">
        <v>0.05</v>
      </c>
      <c r="L323" t="str">
        <f t="shared" ref="L323:L386" si="35">TRIM(PROPER(M323))</f>
        <v>Card</v>
      </c>
      <c r="M323" t="s">
        <v>16</v>
      </c>
      <c r="N323">
        <v>10</v>
      </c>
      <c r="O323">
        <v>3.2</v>
      </c>
      <c r="P323">
        <v>3893.11</v>
      </c>
      <c r="Q323">
        <f t="shared" si="31"/>
        <v>3893.11</v>
      </c>
      <c r="R323">
        <f t="shared" si="32"/>
        <v>0</v>
      </c>
    </row>
    <row r="324" spans="1:18" x14ac:dyDescent="0.35">
      <c r="A324">
        <v>10323</v>
      </c>
      <c r="B324" t="s">
        <v>213</v>
      </c>
      <c r="C324" s="1">
        <f t="shared" si="30"/>
        <v>44884</v>
      </c>
      <c r="D324">
        <v>1200</v>
      </c>
      <c r="E324" t="s">
        <v>29</v>
      </c>
      <c r="F324" t="str">
        <f t="shared" si="33"/>
        <v>Home</v>
      </c>
      <c r="G324" t="s">
        <v>20</v>
      </c>
      <c r="H324" t="str">
        <f t="shared" si="34"/>
        <v>West</v>
      </c>
      <c r="I324">
        <v>6</v>
      </c>
      <c r="J324">
        <v>577.92999999999995</v>
      </c>
      <c r="K324">
        <v>0.11</v>
      </c>
      <c r="L324" t="str">
        <f t="shared" si="35"/>
        <v>Cod</v>
      </c>
      <c r="M324" t="s">
        <v>18</v>
      </c>
      <c r="N324">
        <v>8</v>
      </c>
      <c r="O324">
        <v>1.3</v>
      </c>
      <c r="P324">
        <v>3086.15</v>
      </c>
      <c r="Q324">
        <f t="shared" si="31"/>
        <v>3086.15</v>
      </c>
      <c r="R324">
        <f t="shared" si="32"/>
        <v>0</v>
      </c>
    </row>
    <row r="325" spans="1:18" x14ac:dyDescent="0.35">
      <c r="A325">
        <v>10324</v>
      </c>
      <c r="B325" t="s">
        <v>214</v>
      </c>
      <c r="C325" s="1">
        <f t="shared" si="30"/>
        <v>44885</v>
      </c>
      <c r="D325">
        <v>1123</v>
      </c>
      <c r="E325" t="s">
        <v>29</v>
      </c>
      <c r="F325" t="str">
        <f t="shared" si="33"/>
        <v>Home</v>
      </c>
      <c r="G325" t="s">
        <v>13</v>
      </c>
      <c r="H325" t="str">
        <f t="shared" si="34"/>
        <v>South</v>
      </c>
      <c r="I325">
        <v>6</v>
      </c>
      <c r="J325">
        <v>152.43</v>
      </c>
      <c r="K325">
        <v>0.21</v>
      </c>
      <c r="L325" t="str">
        <f t="shared" si="35"/>
        <v>Cod</v>
      </c>
      <c r="M325" t="s">
        <v>18</v>
      </c>
      <c r="N325">
        <v>11</v>
      </c>
      <c r="O325">
        <v>2.8</v>
      </c>
      <c r="P325">
        <v>722.52</v>
      </c>
      <c r="Q325">
        <f t="shared" si="31"/>
        <v>722.52</v>
      </c>
      <c r="R325">
        <f t="shared" si="32"/>
        <v>0</v>
      </c>
    </row>
    <row r="326" spans="1:18" x14ac:dyDescent="0.35">
      <c r="A326">
        <v>10325</v>
      </c>
      <c r="B326" t="s">
        <v>215</v>
      </c>
      <c r="C326" s="1">
        <f t="shared" si="30"/>
        <v>44886</v>
      </c>
      <c r="D326">
        <v>1186</v>
      </c>
      <c r="E326" t="s">
        <v>29</v>
      </c>
      <c r="F326" t="str">
        <f t="shared" si="33"/>
        <v>Home</v>
      </c>
      <c r="G326" t="s">
        <v>20</v>
      </c>
      <c r="H326" t="str">
        <f t="shared" si="34"/>
        <v>West</v>
      </c>
      <c r="I326">
        <v>6</v>
      </c>
      <c r="J326">
        <v>73.69</v>
      </c>
      <c r="K326">
        <v>0.13</v>
      </c>
      <c r="L326" t="str">
        <f t="shared" si="35"/>
        <v>Card</v>
      </c>
      <c r="M326" t="s">
        <v>16</v>
      </c>
      <c r="N326">
        <v>5</v>
      </c>
      <c r="O326">
        <v>2.8</v>
      </c>
      <c r="P326">
        <v>384.66</v>
      </c>
      <c r="Q326">
        <f t="shared" si="31"/>
        <v>384.66</v>
      </c>
      <c r="R326">
        <f t="shared" si="32"/>
        <v>0</v>
      </c>
    </row>
    <row r="327" spans="1:18" x14ac:dyDescent="0.35">
      <c r="A327">
        <v>10326</v>
      </c>
      <c r="B327" t="s">
        <v>216</v>
      </c>
      <c r="C327" s="1">
        <f t="shared" si="30"/>
        <v>44887</v>
      </c>
      <c r="D327">
        <v>1325</v>
      </c>
      <c r="E327" t="s">
        <v>19</v>
      </c>
      <c r="F327" t="str">
        <f t="shared" si="33"/>
        <v>Electronics</v>
      </c>
      <c r="G327" t="s">
        <v>17</v>
      </c>
      <c r="H327" t="str">
        <f t="shared" si="34"/>
        <v>East</v>
      </c>
      <c r="I327">
        <v>3</v>
      </c>
      <c r="J327">
        <v>101.75</v>
      </c>
      <c r="K327">
        <v>0.01</v>
      </c>
      <c r="L327" t="str">
        <f t="shared" si="35"/>
        <v>Cod</v>
      </c>
      <c r="M327" t="s">
        <v>18</v>
      </c>
      <c r="N327">
        <v>5</v>
      </c>
      <c r="O327">
        <v>2.2999999999999998</v>
      </c>
      <c r="P327">
        <v>302.2</v>
      </c>
      <c r="Q327">
        <f t="shared" si="31"/>
        <v>302.2</v>
      </c>
      <c r="R327">
        <f t="shared" si="32"/>
        <v>0</v>
      </c>
    </row>
    <row r="328" spans="1:18" x14ac:dyDescent="0.35">
      <c r="A328">
        <v>10327</v>
      </c>
      <c r="B328" t="s">
        <v>217</v>
      </c>
      <c r="C328" s="1">
        <f t="shared" si="30"/>
        <v>44888</v>
      </c>
      <c r="D328">
        <v>1463</v>
      </c>
      <c r="E328" t="s">
        <v>12</v>
      </c>
      <c r="F328" t="str">
        <f t="shared" si="33"/>
        <v>Beauty</v>
      </c>
      <c r="G328" t="s">
        <v>20</v>
      </c>
      <c r="H328" t="str">
        <f t="shared" si="34"/>
        <v>West</v>
      </c>
      <c r="I328">
        <v>7</v>
      </c>
      <c r="J328">
        <v>425.69</v>
      </c>
      <c r="K328">
        <v>0.03</v>
      </c>
      <c r="L328" t="str">
        <f t="shared" si="35"/>
        <v>Wallet</v>
      </c>
      <c r="M328" t="s">
        <v>14</v>
      </c>
      <c r="N328">
        <v>8</v>
      </c>
      <c r="O328">
        <v>2.1</v>
      </c>
      <c r="P328">
        <v>2890.44</v>
      </c>
      <c r="Q328">
        <f t="shared" si="31"/>
        <v>2890.44</v>
      </c>
      <c r="R328">
        <f t="shared" si="32"/>
        <v>0</v>
      </c>
    </row>
    <row r="329" spans="1:18" x14ac:dyDescent="0.35">
      <c r="A329">
        <v>10328</v>
      </c>
      <c r="B329" t="s">
        <v>218</v>
      </c>
      <c r="C329" s="1">
        <f t="shared" si="30"/>
        <v>44889</v>
      </c>
      <c r="D329">
        <v>1348</v>
      </c>
      <c r="E329" t="s">
        <v>15</v>
      </c>
      <c r="F329" t="str">
        <f t="shared" si="33"/>
        <v>Clothing</v>
      </c>
      <c r="G329" t="s">
        <v>21</v>
      </c>
      <c r="H329" t="str">
        <f t="shared" si="34"/>
        <v>North</v>
      </c>
      <c r="I329">
        <v>3</v>
      </c>
      <c r="J329">
        <v>439.57</v>
      </c>
      <c r="K329">
        <v>0.1</v>
      </c>
      <c r="L329" t="str">
        <f t="shared" si="35"/>
        <v>Cod</v>
      </c>
      <c r="M329" t="s">
        <v>18</v>
      </c>
      <c r="N329">
        <v>10</v>
      </c>
      <c r="O329">
        <v>1.9</v>
      </c>
      <c r="P329">
        <v>1186.8399999999999</v>
      </c>
      <c r="Q329">
        <f t="shared" si="31"/>
        <v>1186.8399999999999</v>
      </c>
      <c r="R329">
        <f t="shared" si="32"/>
        <v>0</v>
      </c>
    </row>
    <row r="330" spans="1:18" x14ac:dyDescent="0.35">
      <c r="A330">
        <v>10329</v>
      </c>
      <c r="B330" t="s">
        <v>219</v>
      </c>
      <c r="C330" s="1">
        <f t="shared" si="30"/>
        <v>44890</v>
      </c>
      <c r="D330">
        <v>1770</v>
      </c>
      <c r="E330" t="s">
        <v>19</v>
      </c>
      <c r="F330" t="str">
        <f t="shared" si="33"/>
        <v>Electronics</v>
      </c>
      <c r="G330" t="s">
        <v>13</v>
      </c>
      <c r="H330" t="str">
        <f t="shared" si="34"/>
        <v>South</v>
      </c>
      <c r="I330">
        <v>1</v>
      </c>
      <c r="J330">
        <v>409.43</v>
      </c>
      <c r="K330">
        <v>0.23</v>
      </c>
      <c r="L330" t="str">
        <f t="shared" si="35"/>
        <v>Wallet</v>
      </c>
      <c r="M330" t="s">
        <v>14</v>
      </c>
      <c r="N330">
        <v>5</v>
      </c>
      <c r="O330">
        <v>1</v>
      </c>
      <c r="P330">
        <v>315.26</v>
      </c>
      <c r="Q330">
        <f t="shared" si="31"/>
        <v>315.26</v>
      </c>
      <c r="R330">
        <f t="shared" si="32"/>
        <v>0</v>
      </c>
    </row>
    <row r="331" spans="1:18" x14ac:dyDescent="0.35">
      <c r="A331">
        <v>10330</v>
      </c>
      <c r="B331" t="s">
        <v>220</v>
      </c>
      <c r="C331" s="1">
        <f t="shared" si="30"/>
        <v>44891</v>
      </c>
      <c r="D331">
        <v>1659</v>
      </c>
      <c r="E331" t="s">
        <v>15</v>
      </c>
      <c r="F331" t="str">
        <f t="shared" si="33"/>
        <v>Clothing</v>
      </c>
      <c r="G331" t="s">
        <v>13</v>
      </c>
      <c r="H331" t="str">
        <f t="shared" si="34"/>
        <v>South</v>
      </c>
      <c r="I331">
        <v>4</v>
      </c>
      <c r="J331">
        <v>211.61</v>
      </c>
      <c r="K331">
        <v>0.03</v>
      </c>
      <c r="L331" t="str">
        <f t="shared" si="35"/>
        <v>Card</v>
      </c>
      <c r="M331" t="s">
        <v>16</v>
      </c>
      <c r="N331">
        <v>9</v>
      </c>
      <c r="O331">
        <v>1</v>
      </c>
      <c r="P331">
        <v>821.05</v>
      </c>
      <c r="Q331">
        <f t="shared" si="31"/>
        <v>821.05</v>
      </c>
      <c r="R331">
        <f t="shared" si="32"/>
        <v>0</v>
      </c>
    </row>
    <row r="332" spans="1:18" x14ac:dyDescent="0.35">
      <c r="A332">
        <v>10331</v>
      </c>
      <c r="B332" t="s">
        <v>221</v>
      </c>
      <c r="C332" s="1">
        <f t="shared" si="30"/>
        <v>44892</v>
      </c>
      <c r="D332">
        <v>1763</v>
      </c>
      <c r="E332" t="s">
        <v>19</v>
      </c>
      <c r="F332" t="str">
        <f t="shared" si="33"/>
        <v>Electronics</v>
      </c>
      <c r="G332" t="s">
        <v>20</v>
      </c>
      <c r="H332" t="str">
        <f t="shared" si="34"/>
        <v>West</v>
      </c>
      <c r="I332">
        <v>5</v>
      </c>
      <c r="J332">
        <v>114.32</v>
      </c>
      <c r="K332">
        <v>0.2</v>
      </c>
      <c r="L332" t="str">
        <f t="shared" si="35"/>
        <v>Cod</v>
      </c>
      <c r="M332" t="s">
        <v>18</v>
      </c>
      <c r="N332">
        <v>1</v>
      </c>
      <c r="O332">
        <v>3.4</v>
      </c>
      <c r="P332">
        <v>457.28</v>
      </c>
      <c r="Q332">
        <f t="shared" si="31"/>
        <v>457.28</v>
      </c>
      <c r="R332">
        <f t="shared" si="32"/>
        <v>0</v>
      </c>
    </row>
    <row r="333" spans="1:18" x14ac:dyDescent="0.35">
      <c r="A333">
        <v>10332</v>
      </c>
      <c r="B333" t="s">
        <v>222</v>
      </c>
      <c r="C333" s="1">
        <f t="shared" si="30"/>
        <v>44893</v>
      </c>
      <c r="D333">
        <v>1954</v>
      </c>
      <c r="E333" t="s">
        <v>19</v>
      </c>
      <c r="F333" t="str">
        <f t="shared" si="33"/>
        <v>Electronics</v>
      </c>
      <c r="G333" t="s">
        <v>17</v>
      </c>
      <c r="H333" t="str">
        <f t="shared" si="34"/>
        <v>East</v>
      </c>
      <c r="I333">
        <v>7</v>
      </c>
      <c r="J333">
        <v>354.75</v>
      </c>
      <c r="K333">
        <v>0.04</v>
      </c>
      <c r="L333" t="str">
        <f t="shared" si="35"/>
        <v>Wallet</v>
      </c>
      <c r="M333" t="s">
        <v>14</v>
      </c>
      <c r="N333">
        <v>5</v>
      </c>
      <c r="O333">
        <v>2.2000000000000002</v>
      </c>
      <c r="P333">
        <v>2383.92</v>
      </c>
      <c r="Q333">
        <f t="shared" si="31"/>
        <v>2383.92</v>
      </c>
      <c r="R333">
        <f t="shared" si="32"/>
        <v>0</v>
      </c>
    </row>
    <row r="334" spans="1:18" x14ac:dyDescent="0.35">
      <c r="A334">
        <v>10333</v>
      </c>
      <c r="B334" t="s">
        <v>223</v>
      </c>
      <c r="C334" s="1">
        <f t="shared" si="30"/>
        <v>44894</v>
      </c>
      <c r="D334">
        <v>1931</v>
      </c>
      <c r="E334" t="s">
        <v>29</v>
      </c>
      <c r="F334" t="str">
        <f t="shared" si="33"/>
        <v>Home</v>
      </c>
      <c r="G334" t="s">
        <v>13</v>
      </c>
      <c r="H334" t="str">
        <f t="shared" si="34"/>
        <v>South</v>
      </c>
      <c r="I334">
        <v>1</v>
      </c>
      <c r="J334">
        <v>297.95</v>
      </c>
      <c r="K334">
        <v>7.0000000000000007E-2</v>
      </c>
      <c r="L334" t="str">
        <f t="shared" si="35"/>
        <v>Card</v>
      </c>
      <c r="M334" t="s">
        <v>16</v>
      </c>
      <c r="N334">
        <v>3</v>
      </c>
      <c r="O334">
        <v>1.7</v>
      </c>
      <c r="P334">
        <v>277.08999999999997</v>
      </c>
      <c r="Q334">
        <f t="shared" si="31"/>
        <v>277.08999999999997</v>
      </c>
      <c r="R334">
        <f t="shared" si="32"/>
        <v>0</v>
      </c>
    </row>
    <row r="335" spans="1:18" x14ac:dyDescent="0.35">
      <c r="A335">
        <v>10334</v>
      </c>
      <c r="B335" t="s">
        <v>224</v>
      </c>
      <c r="C335" s="1">
        <f t="shared" si="30"/>
        <v>44895</v>
      </c>
      <c r="D335">
        <v>1402</v>
      </c>
      <c r="E335" t="s">
        <v>19</v>
      </c>
      <c r="F335" t="str">
        <f t="shared" si="33"/>
        <v>Electronics</v>
      </c>
      <c r="G335" t="s">
        <v>21</v>
      </c>
      <c r="H335" t="str">
        <f t="shared" si="34"/>
        <v>North</v>
      </c>
      <c r="I335">
        <v>5</v>
      </c>
      <c r="J335">
        <v>441.37</v>
      </c>
      <c r="K335">
        <v>0.06</v>
      </c>
      <c r="L335" t="str">
        <f t="shared" si="35"/>
        <v>Wallet</v>
      </c>
      <c r="M335" t="s">
        <v>14</v>
      </c>
      <c r="N335">
        <v>3</v>
      </c>
      <c r="O335">
        <v>3.7</v>
      </c>
      <c r="P335">
        <v>2074.44</v>
      </c>
      <c r="Q335">
        <f t="shared" si="31"/>
        <v>2074.44</v>
      </c>
      <c r="R335">
        <f t="shared" si="32"/>
        <v>0</v>
      </c>
    </row>
    <row r="336" spans="1:18" x14ac:dyDescent="0.35">
      <c r="A336">
        <v>10335</v>
      </c>
      <c r="B336" s="1">
        <v>44573</v>
      </c>
      <c r="C336" s="1">
        <f t="shared" si="30"/>
        <v>44896</v>
      </c>
      <c r="D336">
        <v>1345</v>
      </c>
      <c r="E336" t="s">
        <v>15</v>
      </c>
      <c r="F336" t="str">
        <f t="shared" si="33"/>
        <v>Clothing</v>
      </c>
      <c r="G336" t="s">
        <v>21</v>
      </c>
      <c r="H336" t="str">
        <f t="shared" si="34"/>
        <v>North</v>
      </c>
      <c r="I336">
        <v>1</v>
      </c>
      <c r="J336">
        <v>273.2</v>
      </c>
      <c r="K336">
        <v>0.02</v>
      </c>
      <c r="L336" t="str">
        <f t="shared" si="35"/>
        <v>Card</v>
      </c>
      <c r="M336" t="s">
        <v>16</v>
      </c>
      <c r="N336">
        <v>2</v>
      </c>
      <c r="O336">
        <v>3.1</v>
      </c>
      <c r="P336">
        <v>267.74</v>
      </c>
      <c r="Q336">
        <f t="shared" si="31"/>
        <v>267.74</v>
      </c>
      <c r="R336">
        <f t="shared" si="32"/>
        <v>0</v>
      </c>
    </row>
    <row r="337" spans="1:18" x14ac:dyDescent="0.35">
      <c r="A337">
        <v>10336</v>
      </c>
      <c r="B337" s="1">
        <v>44604</v>
      </c>
      <c r="C337" s="1">
        <f t="shared" si="30"/>
        <v>44897</v>
      </c>
      <c r="D337">
        <v>1962</v>
      </c>
      <c r="E337" t="s">
        <v>15</v>
      </c>
      <c r="F337" t="str">
        <f t="shared" si="33"/>
        <v>Clothing</v>
      </c>
      <c r="G337" t="s">
        <v>13</v>
      </c>
      <c r="H337" t="str">
        <f t="shared" si="34"/>
        <v>South</v>
      </c>
      <c r="I337">
        <v>3</v>
      </c>
      <c r="J337">
        <v>213.1</v>
      </c>
      <c r="K337">
        <v>0.23</v>
      </c>
      <c r="L337" t="str">
        <f t="shared" si="35"/>
        <v>Wallet</v>
      </c>
      <c r="M337" t="s">
        <v>14</v>
      </c>
      <c r="N337">
        <v>3</v>
      </c>
      <c r="O337">
        <v>4.7</v>
      </c>
      <c r="P337">
        <v>492.26</v>
      </c>
      <c r="Q337">
        <f t="shared" si="31"/>
        <v>492.26</v>
      </c>
      <c r="R337">
        <f t="shared" si="32"/>
        <v>0</v>
      </c>
    </row>
    <row r="338" spans="1:18" x14ac:dyDescent="0.35">
      <c r="A338">
        <v>10337</v>
      </c>
      <c r="B338" s="1">
        <v>44632</v>
      </c>
      <c r="C338" s="1">
        <f t="shared" si="30"/>
        <v>44898</v>
      </c>
      <c r="D338">
        <v>1510</v>
      </c>
      <c r="E338" t="s">
        <v>19</v>
      </c>
      <c r="F338" t="str">
        <f t="shared" si="33"/>
        <v>Electronics</v>
      </c>
      <c r="G338" t="s">
        <v>17</v>
      </c>
      <c r="H338" t="str">
        <f t="shared" si="34"/>
        <v>East</v>
      </c>
      <c r="I338">
        <v>6</v>
      </c>
      <c r="J338">
        <v>186.68</v>
      </c>
      <c r="K338">
        <v>0.16</v>
      </c>
      <c r="L338" t="str">
        <f t="shared" si="35"/>
        <v>Card</v>
      </c>
      <c r="M338" t="s">
        <v>16</v>
      </c>
      <c r="N338">
        <v>7</v>
      </c>
      <c r="O338">
        <v>4.3</v>
      </c>
      <c r="P338">
        <v>940.87</v>
      </c>
      <c r="Q338">
        <f t="shared" si="31"/>
        <v>940.87</v>
      </c>
      <c r="R338">
        <f t="shared" si="32"/>
        <v>0</v>
      </c>
    </row>
    <row r="339" spans="1:18" x14ac:dyDescent="0.35">
      <c r="A339">
        <v>10338</v>
      </c>
      <c r="B339" s="1">
        <v>44663</v>
      </c>
      <c r="C339" s="1">
        <f t="shared" si="30"/>
        <v>44899</v>
      </c>
      <c r="D339">
        <v>1146</v>
      </c>
      <c r="E339" t="s">
        <v>12</v>
      </c>
      <c r="F339" t="str">
        <f t="shared" si="33"/>
        <v>Beauty</v>
      </c>
      <c r="G339" t="s">
        <v>17</v>
      </c>
      <c r="H339" t="str">
        <f t="shared" si="34"/>
        <v>East</v>
      </c>
      <c r="I339">
        <v>4</v>
      </c>
      <c r="J339">
        <v>138.71</v>
      </c>
      <c r="K339">
        <v>0.28999999999999998</v>
      </c>
      <c r="L339" t="str">
        <f t="shared" si="35"/>
        <v>Card</v>
      </c>
      <c r="M339" t="s">
        <v>16</v>
      </c>
      <c r="N339">
        <v>8</v>
      </c>
      <c r="O339">
        <v>3.9</v>
      </c>
      <c r="P339">
        <v>393.94</v>
      </c>
      <c r="Q339">
        <f t="shared" si="31"/>
        <v>393.94</v>
      </c>
      <c r="R339">
        <f t="shared" si="32"/>
        <v>0</v>
      </c>
    </row>
    <row r="340" spans="1:18" x14ac:dyDescent="0.35">
      <c r="A340">
        <v>10339</v>
      </c>
      <c r="B340" s="1">
        <v>44693</v>
      </c>
      <c r="C340" s="1">
        <f t="shared" si="30"/>
        <v>44900</v>
      </c>
      <c r="D340">
        <v>1147</v>
      </c>
      <c r="E340" t="s">
        <v>19</v>
      </c>
      <c r="F340" t="str">
        <f t="shared" si="33"/>
        <v>Electronics</v>
      </c>
      <c r="G340" t="s">
        <v>20</v>
      </c>
      <c r="H340" t="str">
        <f t="shared" si="34"/>
        <v>West</v>
      </c>
      <c r="I340">
        <v>3</v>
      </c>
      <c r="J340">
        <v>170.46</v>
      </c>
      <c r="K340">
        <v>0.03</v>
      </c>
      <c r="L340" t="str">
        <f t="shared" si="35"/>
        <v>Wallet</v>
      </c>
      <c r="M340" t="s">
        <v>14</v>
      </c>
      <c r="N340">
        <v>8</v>
      </c>
      <c r="O340">
        <v>1.5</v>
      </c>
      <c r="P340">
        <v>496.04</v>
      </c>
      <c r="Q340">
        <f t="shared" si="31"/>
        <v>496.04</v>
      </c>
      <c r="R340">
        <f t="shared" si="32"/>
        <v>0</v>
      </c>
    </row>
    <row r="341" spans="1:18" x14ac:dyDescent="0.35">
      <c r="A341">
        <v>10340</v>
      </c>
      <c r="B341" s="1">
        <v>44724</v>
      </c>
      <c r="C341" s="1">
        <f t="shared" si="30"/>
        <v>44901</v>
      </c>
      <c r="D341">
        <v>1863</v>
      </c>
      <c r="E341" t="s">
        <v>19</v>
      </c>
      <c r="F341" t="str">
        <f t="shared" si="33"/>
        <v>Electronics</v>
      </c>
      <c r="G341" t="s">
        <v>20</v>
      </c>
      <c r="H341" t="str">
        <f t="shared" si="34"/>
        <v>West</v>
      </c>
      <c r="I341">
        <v>4</v>
      </c>
      <c r="J341">
        <v>70.48</v>
      </c>
      <c r="K341">
        <v>0.05</v>
      </c>
      <c r="L341" t="str">
        <f t="shared" si="35"/>
        <v>Card</v>
      </c>
      <c r="M341" t="s">
        <v>16</v>
      </c>
      <c r="N341">
        <v>11</v>
      </c>
      <c r="O341">
        <v>3.7</v>
      </c>
      <c r="P341">
        <v>267.82</v>
      </c>
      <c r="Q341">
        <f t="shared" si="31"/>
        <v>267.82</v>
      </c>
      <c r="R341">
        <f t="shared" si="32"/>
        <v>0</v>
      </c>
    </row>
    <row r="342" spans="1:18" x14ac:dyDescent="0.35">
      <c r="A342">
        <v>10341</v>
      </c>
      <c r="B342" s="1">
        <v>44754</v>
      </c>
      <c r="C342" s="1">
        <f t="shared" si="30"/>
        <v>44902</v>
      </c>
      <c r="D342">
        <v>1710</v>
      </c>
      <c r="E342" t="s">
        <v>19</v>
      </c>
      <c r="F342" t="str">
        <f t="shared" si="33"/>
        <v>Electronics</v>
      </c>
      <c r="G342" t="s">
        <v>13</v>
      </c>
      <c r="H342" t="str">
        <f t="shared" si="34"/>
        <v>South</v>
      </c>
      <c r="I342">
        <v>7</v>
      </c>
      <c r="J342">
        <v>217.91</v>
      </c>
      <c r="K342">
        <v>0.11</v>
      </c>
      <c r="L342" t="str">
        <f t="shared" si="35"/>
        <v>Card</v>
      </c>
      <c r="M342" t="s">
        <v>16</v>
      </c>
      <c r="N342">
        <v>8</v>
      </c>
      <c r="O342">
        <v>3.8</v>
      </c>
      <c r="P342">
        <v>1357.58</v>
      </c>
      <c r="Q342">
        <f t="shared" si="31"/>
        <v>1357.58</v>
      </c>
      <c r="R342">
        <f t="shared" si="32"/>
        <v>0</v>
      </c>
    </row>
    <row r="343" spans="1:18" x14ac:dyDescent="0.35">
      <c r="A343">
        <v>10342</v>
      </c>
      <c r="B343" s="1">
        <v>44785</v>
      </c>
      <c r="C343" s="1">
        <f t="shared" si="30"/>
        <v>44903</v>
      </c>
      <c r="D343">
        <v>1819</v>
      </c>
      <c r="E343" t="s">
        <v>19</v>
      </c>
      <c r="F343" t="str">
        <f t="shared" si="33"/>
        <v>Electronics</v>
      </c>
      <c r="G343" t="s">
        <v>20</v>
      </c>
      <c r="H343" t="str">
        <f t="shared" si="34"/>
        <v>West</v>
      </c>
      <c r="I343">
        <v>5</v>
      </c>
      <c r="J343">
        <v>36.39</v>
      </c>
      <c r="K343">
        <v>0.27</v>
      </c>
      <c r="L343" t="str">
        <f t="shared" si="35"/>
        <v>Card</v>
      </c>
      <c r="M343" t="s">
        <v>16</v>
      </c>
      <c r="N343">
        <v>1</v>
      </c>
      <c r="O343">
        <v>4.0999999999999996</v>
      </c>
      <c r="P343">
        <v>132.82</v>
      </c>
      <c r="Q343">
        <f t="shared" si="31"/>
        <v>132.82</v>
      </c>
      <c r="R343">
        <f t="shared" si="32"/>
        <v>0</v>
      </c>
    </row>
    <row r="344" spans="1:18" x14ac:dyDescent="0.35">
      <c r="A344">
        <v>10343</v>
      </c>
      <c r="B344" s="1">
        <v>44816</v>
      </c>
      <c r="C344" s="1">
        <f t="shared" si="30"/>
        <v>44904</v>
      </c>
      <c r="D344">
        <v>1488</v>
      </c>
      <c r="E344" t="s">
        <v>19</v>
      </c>
      <c r="F344" t="str">
        <f t="shared" si="33"/>
        <v>Electronics</v>
      </c>
      <c r="G344" t="s">
        <v>20</v>
      </c>
      <c r="H344" t="str">
        <f t="shared" si="34"/>
        <v>West</v>
      </c>
      <c r="I344">
        <v>1</v>
      </c>
      <c r="J344">
        <v>124.05</v>
      </c>
      <c r="K344">
        <v>0.11</v>
      </c>
      <c r="L344" t="str">
        <f t="shared" si="35"/>
        <v>Cod</v>
      </c>
      <c r="M344" t="s">
        <v>18</v>
      </c>
      <c r="N344">
        <v>11</v>
      </c>
      <c r="O344">
        <v>2.1</v>
      </c>
      <c r="P344">
        <v>110.4</v>
      </c>
      <c r="Q344">
        <f t="shared" si="31"/>
        <v>110.4</v>
      </c>
      <c r="R344">
        <f t="shared" si="32"/>
        <v>0</v>
      </c>
    </row>
    <row r="345" spans="1:18" x14ac:dyDescent="0.35">
      <c r="A345">
        <v>10344</v>
      </c>
      <c r="B345" s="1">
        <v>44846</v>
      </c>
      <c r="C345" s="1">
        <f t="shared" si="30"/>
        <v>44905</v>
      </c>
      <c r="D345">
        <v>1928</v>
      </c>
      <c r="E345" t="s">
        <v>29</v>
      </c>
      <c r="F345" t="str">
        <f t="shared" si="33"/>
        <v>Home</v>
      </c>
      <c r="G345" t="s">
        <v>20</v>
      </c>
      <c r="H345" t="str">
        <f t="shared" si="34"/>
        <v>West</v>
      </c>
      <c r="I345">
        <v>2</v>
      </c>
      <c r="J345">
        <v>451.86</v>
      </c>
      <c r="K345">
        <v>0.14000000000000001</v>
      </c>
      <c r="L345" t="str">
        <f t="shared" si="35"/>
        <v>Wallet</v>
      </c>
      <c r="M345" t="s">
        <v>14</v>
      </c>
      <c r="N345">
        <v>7</v>
      </c>
      <c r="O345">
        <v>3.6</v>
      </c>
      <c r="P345">
        <v>777.2</v>
      </c>
      <c r="Q345">
        <f t="shared" si="31"/>
        <v>777.2</v>
      </c>
      <c r="R345">
        <f t="shared" si="32"/>
        <v>0</v>
      </c>
    </row>
    <row r="346" spans="1:18" x14ac:dyDescent="0.35">
      <c r="A346">
        <v>10345</v>
      </c>
      <c r="B346" s="1">
        <v>44877</v>
      </c>
      <c r="C346" s="1">
        <f t="shared" si="30"/>
        <v>44906</v>
      </c>
      <c r="D346">
        <v>1935</v>
      </c>
      <c r="E346" t="s">
        <v>12</v>
      </c>
      <c r="F346" t="str">
        <f t="shared" si="33"/>
        <v>Beauty</v>
      </c>
      <c r="G346" t="s">
        <v>21</v>
      </c>
      <c r="H346" t="str">
        <f t="shared" si="34"/>
        <v>North</v>
      </c>
      <c r="I346">
        <v>2</v>
      </c>
      <c r="J346">
        <v>205.4</v>
      </c>
      <c r="K346">
        <v>0.11</v>
      </c>
      <c r="L346" t="str">
        <f t="shared" si="35"/>
        <v>Card</v>
      </c>
      <c r="M346" t="s">
        <v>16</v>
      </c>
      <c r="N346">
        <v>2</v>
      </c>
      <c r="O346">
        <v>3.5</v>
      </c>
      <c r="P346">
        <v>365.61</v>
      </c>
      <c r="Q346">
        <f t="shared" si="31"/>
        <v>365.61</v>
      </c>
      <c r="R346">
        <f t="shared" si="32"/>
        <v>0</v>
      </c>
    </row>
    <row r="347" spans="1:18" x14ac:dyDescent="0.35">
      <c r="A347">
        <v>10346</v>
      </c>
      <c r="B347" s="1">
        <v>44907</v>
      </c>
      <c r="C347" s="1">
        <f t="shared" si="30"/>
        <v>44907</v>
      </c>
      <c r="D347">
        <v>1639</v>
      </c>
      <c r="E347" t="s">
        <v>19</v>
      </c>
      <c r="F347" t="str">
        <f t="shared" si="33"/>
        <v>Electronics</v>
      </c>
      <c r="G347" t="s">
        <v>20</v>
      </c>
      <c r="H347" t="str">
        <f t="shared" si="34"/>
        <v>West</v>
      </c>
      <c r="I347">
        <v>4</v>
      </c>
      <c r="J347">
        <v>405.92</v>
      </c>
      <c r="K347">
        <v>0.03</v>
      </c>
      <c r="L347" t="str">
        <f t="shared" si="35"/>
        <v>Cod</v>
      </c>
      <c r="M347" t="s">
        <v>18</v>
      </c>
      <c r="N347">
        <v>11</v>
      </c>
      <c r="O347">
        <v>2.5</v>
      </c>
      <c r="P347">
        <v>1574.97</v>
      </c>
      <c r="Q347">
        <f t="shared" si="31"/>
        <v>1574.97</v>
      </c>
      <c r="R347">
        <f t="shared" si="32"/>
        <v>0</v>
      </c>
    </row>
    <row r="348" spans="1:18" x14ac:dyDescent="0.35">
      <c r="A348">
        <v>10347</v>
      </c>
      <c r="B348" t="s">
        <v>225</v>
      </c>
      <c r="C348" s="1">
        <f t="shared" si="30"/>
        <v>44908</v>
      </c>
      <c r="D348">
        <v>1550</v>
      </c>
      <c r="E348" t="s">
        <v>29</v>
      </c>
      <c r="F348" t="str">
        <f t="shared" si="33"/>
        <v>Home</v>
      </c>
      <c r="G348" t="s">
        <v>13</v>
      </c>
      <c r="H348" t="str">
        <f t="shared" si="34"/>
        <v>South</v>
      </c>
      <c r="I348">
        <v>6</v>
      </c>
      <c r="J348">
        <v>434.38</v>
      </c>
      <c r="K348">
        <v>0.33</v>
      </c>
      <c r="L348" t="str">
        <f t="shared" si="35"/>
        <v>Card</v>
      </c>
      <c r="M348" t="s">
        <v>16</v>
      </c>
      <c r="N348">
        <v>10</v>
      </c>
      <c r="O348">
        <v>3.7</v>
      </c>
      <c r="P348">
        <v>1746.21</v>
      </c>
      <c r="Q348">
        <f t="shared" si="31"/>
        <v>1746.21</v>
      </c>
      <c r="R348">
        <f t="shared" si="32"/>
        <v>0</v>
      </c>
    </row>
    <row r="349" spans="1:18" x14ac:dyDescent="0.35">
      <c r="A349">
        <v>10348</v>
      </c>
      <c r="B349" t="s">
        <v>226</v>
      </c>
      <c r="C349" s="1">
        <f t="shared" si="30"/>
        <v>44909</v>
      </c>
      <c r="D349">
        <v>1337</v>
      </c>
      <c r="E349" t="s">
        <v>29</v>
      </c>
      <c r="F349" t="str">
        <f t="shared" si="33"/>
        <v>Home</v>
      </c>
      <c r="G349" t="s">
        <v>17</v>
      </c>
      <c r="H349" t="str">
        <f t="shared" si="34"/>
        <v>East</v>
      </c>
      <c r="I349">
        <v>6</v>
      </c>
      <c r="J349">
        <v>354.99</v>
      </c>
      <c r="K349">
        <v>0.19</v>
      </c>
      <c r="L349" t="str">
        <f t="shared" si="35"/>
        <v>Cod</v>
      </c>
      <c r="M349" t="s">
        <v>18</v>
      </c>
      <c r="N349">
        <v>4</v>
      </c>
      <c r="O349">
        <v>1.3</v>
      </c>
      <c r="P349">
        <v>1725.25</v>
      </c>
      <c r="Q349">
        <f t="shared" si="31"/>
        <v>1725.25</v>
      </c>
      <c r="R349">
        <f t="shared" si="32"/>
        <v>0</v>
      </c>
    </row>
    <row r="350" spans="1:18" x14ac:dyDescent="0.35">
      <c r="A350">
        <v>10349</v>
      </c>
      <c r="B350" t="s">
        <v>227</v>
      </c>
      <c r="C350" s="1">
        <f t="shared" si="30"/>
        <v>44910</v>
      </c>
      <c r="D350">
        <v>1871</v>
      </c>
      <c r="E350" t="s">
        <v>29</v>
      </c>
      <c r="F350" t="str">
        <f t="shared" si="33"/>
        <v>Home</v>
      </c>
      <c r="G350" t="s">
        <v>20</v>
      </c>
      <c r="H350" t="str">
        <f t="shared" si="34"/>
        <v>West</v>
      </c>
      <c r="I350">
        <v>4</v>
      </c>
      <c r="J350">
        <v>575.84</v>
      </c>
      <c r="K350">
        <v>0.28000000000000003</v>
      </c>
      <c r="L350" t="str">
        <f t="shared" si="35"/>
        <v>Card</v>
      </c>
      <c r="M350" t="s">
        <v>16</v>
      </c>
      <c r="N350">
        <v>5</v>
      </c>
      <c r="O350">
        <v>3.6</v>
      </c>
      <c r="P350">
        <v>1658.42</v>
      </c>
      <c r="Q350">
        <f t="shared" si="31"/>
        <v>1658.42</v>
      </c>
      <c r="R350">
        <f t="shared" si="32"/>
        <v>0</v>
      </c>
    </row>
    <row r="351" spans="1:18" x14ac:dyDescent="0.35">
      <c r="A351">
        <v>10350</v>
      </c>
      <c r="B351" t="s">
        <v>228</v>
      </c>
      <c r="C351" s="1">
        <f t="shared" si="30"/>
        <v>44911</v>
      </c>
      <c r="D351">
        <v>1640</v>
      </c>
      <c r="E351" t="s">
        <v>15</v>
      </c>
      <c r="F351" t="str">
        <f t="shared" si="33"/>
        <v>Clothing</v>
      </c>
      <c r="G351" t="s">
        <v>17</v>
      </c>
      <c r="H351" t="str">
        <f t="shared" si="34"/>
        <v>East</v>
      </c>
      <c r="I351">
        <v>3</v>
      </c>
      <c r="J351">
        <v>27.54</v>
      </c>
      <c r="K351">
        <v>0.23</v>
      </c>
      <c r="L351" t="str">
        <f t="shared" si="35"/>
        <v>Card</v>
      </c>
      <c r="M351" t="s">
        <v>16</v>
      </c>
      <c r="N351">
        <v>1</v>
      </c>
      <c r="O351">
        <v>3.4</v>
      </c>
      <c r="P351">
        <v>63.62</v>
      </c>
      <c r="Q351">
        <f t="shared" si="31"/>
        <v>63.62</v>
      </c>
      <c r="R351">
        <f t="shared" si="32"/>
        <v>0</v>
      </c>
    </row>
    <row r="352" spans="1:18" x14ac:dyDescent="0.35">
      <c r="A352">
        <v>10351</v>
      </c>
      <c r="B352" t="s">
        <v>229</v>
      </c>
      <c r="C352" s="1">
        <f t="shared" si="30"/>
        <v>44912</v>
      </c>
      <c r="D352">
        <v>1778</v>
      </c>
      <c r="E352" t="s">
        <v>19</v>
      </c>
      <c r="F352" t="str">
        <f t="shared" si="33"/>
        <v>Electronics</v>
      </c>
      <c r="G352" t="s">
        <v>20</v>
      </c>
      <c r="H352" t="str">
        <f t="shared" si="34"/>
        <v>West</v>
      </c>
      <c r="I352">
        <v>2</v>
      </c>
      <c r="J352">
        <v>447.11</v>
      </c>
      <c r="K352">
        <v>0.18</v>
      </c>
      <c r="L352" t="str">
        <f t="shared" si="35"/>
        <v>Card</v>
      </c>
      <c r="M352" t="s">
        <v>16</v>
      </c>
      <c r="N352">
        <v>4</v>
      </c>
      <c r="O352">
        <v>1.8</v>
      </c>
      <c r="P352">
        <v>733.26</v>
      </c>
      <c r="Q352">
        <f t="shared" si="31"/>
        <v>733.26</v>
      </c>
      <c r="R352">
        <f t="shared" si="32"/>
        <v>0</v>
      </c>
    </row>
    <row r="353" spans="1:18" x14ac:dyDescent="0.35">
      <c r="A353">
        <v>10352</v>
      </c>
      <c r="B353" t="s">
        <v>230</v>
      </c>
      <c r="C353" s="1">
        <f t="shared" si="30"/>
        <v>44913</v>
      </c>
      <c r="D353">
        <v>1987</v>
      </c>
      <c r="E353" t="s">
        <v>19</v>
      </c>
      <c r="F353" t="str">
        <f t="shared" si="33"/>
        <v>Electronics</v>
      </c>
      <c r="G353" t="s">
        <v>13</v>
      </c>
      <c r="H353" t="str">
        <f t="shared" si="34"/>
        <v>South</v>
      </c>
      <c r="I353">
        <v>3</v>
      </c>
      <c r="J353">
        <v>575.89</v>
      </c>
      <c r="K353">
        <v>0.03</v>
      </c>
      <c r="L353" t="str">
        <f t="shared" si="35"/>
        <v>Cod</v>
      </c>
      <c r="M353" t="s">
        <v>18</v>
      </c>
      <c r="N353">
        <v>4</v>
      </c>
      <c r="O353">
        <v>4.3</v>
      </c>
      <c r="P353">
        <v>1675.84</v>
      </c>
      <c r="Q353">
        <f t="shared" si="31"/>
        <v>1675.84</v>
      </c>
      <c r="R353">
        <f t="shared" si="32"/>
        <v>0</v>
      </c>
    </row>
    <row r="354" spans="1:18" x14ac:dyDescent="0.35">
      <c r="A354">
        <v>10353</v>
      </c>
      <c r="B354" t="s">
        <v>231</v>
      </c>
      <c r="C354" s="1">
        <f t="shared" si="30"/>
        <v>44914</v>
      </c>
      <c r="D354">
        <v>1952</v>
      </c>
      <c r="E354" t="s">
        <v>29</v>
      </c>
      <c r="F354" t="str">
        <f t="shared" si="33"/>
        <v>Home</v>
      </c>
      <c r="G354" t="s">
        <v>21</v>
      </c>
      <c r="H354" t="str">
        <f t="shared" si="34"/>
        <v>North</v>
      </c>
      <c r="I354">
        <v>5</v>
      </c>
      <c r="J354">
        <v>519.42999999999995</v>
      </c>
      <c r="K354">
        <v>0.22</v>
      </c>
      <c r="L354" t="str">
        <f t="shared" si="35"/>
        <v>Wallet</v>
      </c>
      <c r="M354" t="s">
        <v>14</v>
      </c>
      <c r="N354">
        <v>9</v>
      </c>
      <c r="O354">
        <v>4.5</v>
      </c>
      <c r="P354">
        <v>2025.78</v>
      </c>
      <c r="Q354">
        <f t="shared" si="31"/>
        <v>2025.78</v>
      </c>
      <c r="R354">
        <f t="shared" si="32"/>
        <v>0</v>
      </c>
    </row>
    <row r="355" spans="1:18" x14ac:dyDescent="0.35">
      <c r="A355">
        <v>10354</v>
      </c>
      <c r="B355" t="s">
        <v>232</v>
      </c>
      <c r="C355" s="1">
        <f t="shared" si="30"/>
        <v>44915</v>
      </c>
      <c r="D355">
        <v>1472</v>
      </c>
      <c r="E355" t="s">
        <v>29</v>
      </c>
      <c r="F355" t="str">
        <f t="shared" si="33"/>
        <v>Home</v>
      </c>
      <c r="G355" t="s">
        <v>13</v>
      </c>
      <c r="H355" t="str">
        <f t="shared" si="34"/>
        <v>South</v>
      </c>
      <c r="I355">
        <v>2</v>
      </c>
      <c r="J355">
        <v>113.22</v>
      </c>
      <c r="K355">
        <v>0.05</v>
      </c>
      <c r="L355" t="str">
        <f t="shared" si="35"/>
        <v>Cod</v>
      </c>
      <c r="M355" t="s">
        <v>18</v>
      </c>
      <c r="N355">
        <v>9</v>
      </c>
      <c r="O355">
        <v>1.8</v>
      </c>
      <c r="P355">
        <v>215.12</v>
      </c>
      <c r="Q355">
        <f t="shared" si="31"/>
        <v>215.12</v>
      </c>
      <c r="R355">
        <f t="shared" si="32"/>
        <v>0</v>
      </c>
    </row>
    <row r="356" spans="1:18" x14ac:dyDescent="0.35">
      <c r="A356">
        <v>10355</v>
      </c>
      <c r="B356" t="s">
        <v>233</v>
      </c>
      <c r="C356" s="1">
        <f t="shared" si="30"/>
        <v>44916</v>
      </c>
      <c r="D356">
        <v>1945</v>
      </c>
      <c r="E356" t="s">
        <v>19</v>
      </c>
      <c r="F356" t="str">
        <f t="shared" si="33"/>
        <v>Electronics</v>
      </c>
      <c r="G356" t="s">
        <v>21</v>
      </c>
      <c r="H356" t="str">
        <f t="shared" si="34"/>
        <v>North</v>
      </c>
      <c r="I356">
        <v>5</v>
      </c>
      <c r="J356">
        <v>206.19</v>
      </c>
      <c r="K356">
        <v>0.15</v>
      </c>
      <c r="L356" t="str">
        <f t="shared" si="35"/>
        <v>Card</v>
      </c>
      <c r="M356" t="s">
        <v>16</v>
      </c>
      <c r="N356">
        <v>11</v>
      </c>
      <c r="O356">
        <v>1.3</v>
      </c>
      <c r="P356">
        <v>876.31</v>
      </c>
      <c r="Q356">
        <f t="shared" si="31"/>
        <v>876.31</v>
      </c>
      <c r="R356">
        <f t="shared" si="32"/>
        <v>0</v>
      </c>
    </row>
    <row r="357" spans="1:18" x14ac:dyDescent="0.35">
      <c r="A357">
        <v>10356</v>
      </c>
      <c r="B357" t="s">
        <v>234</v>
      </c>
      <c r="C357" s="1">
        <f t="shared" si="30"/>
        <v>44917</v>
      </c>
      <c r="D357">
        <v>1150</v>
      </c>
      <c r="E357" t="s">
        <v>15</v>
      </c>
      <c r="F357" t="str">
        <f t="shared" si="33"/>
        <v>Clothing</v>
      </c>
      <c r="G357" t="s">
        <v>20</v>
      </c>
      <c r="H357" t="str">
        <f t="shared" si="34"/>
        <v>West</v>
      </c>
      <c r="I357">
        <v>1</v>
      </c>
      <c r="J357">
        <v>115.88</v>
      </c>
      <c r="K357">
        <v>0.22</v>
      </c>
      <c r="L357" t="str">
        <f t="shared" si="35"/>
        <v>Cod</v>
      </c>
      <c r="M357" t="s">
        <v>18</v>
      </c>
      <c r="N357">
        <v>10</v>
      </c>
      <c r="O357">
        <v>3.4</v>
      </c>
      <c r="P357">
        <v>90.39</v>
      </c>
      <c r="Q357">
        <f t="shared" si="31"/>
        <v>90.39</v>
      </c>
      <c r="R357">
        <f t="shared" si="32"/>
        <v>0</v>
      </c>
    </row>
    <row r="358" spans="1:18" x14ac:dyDescent="0.35">
      <c r="A358">
        <v>10357</v>
      </c>
      <c r="B358" t="s">
        <v>235</v>
      </c>
      <c r="C358" s="1">
        <f t="shared" si="30"/>
        <v>44918</v>
      </c>
      <c r="D358">
        <v>1414</v>
      </c>
      <c r="E358" t="s">
        <v>12</v>
      </c>
      <c r="F358" t="str">
        <f t="shared" si="33"/>
        <v>Beauty</v>
      </c>
      <c r="G358" t="s">
        <v>20</v>
      </c>
      <c r="H358" t="str">
        <f t="shared" si="34"/>
        <v>West</v>
      </c>
      <c r="I358">
        <v>3</v>
      </c>
      <c r="J358">
        <v>366.77</v>
      </c>
      <c r="K358">
        <v>0.27</v>
      </c>
      <c r="L358" t="str">
        <f t="shared" si="35"/>
        <v>Cod</v>
      </c>
      <c r="M358" t="s">
        <v>18</v>
      </c>
      <c r="N358">
        <v>1</v>
      </c>
      <c r="O358">
        <v>2.9</v>
      </c>
      <c r="P358">
        <v>803.23</v>
      </c>
      <c r="Q358">
        <f t="shared" si="31"/>
        <v>803.23</v>
      </c>
      <c r="R358">
        <f t="shared" si="32"/>
        <v>0</v>
      </c>
    </row>
    <row r="359" spans="1:18" x14ac:dyDescent="0.35">
      <c r="A359">
        <v>10358</v>
      </c>
      <c r="B359" t="s">
        <v>236</v>
      </c>
      <c r="C359" s="1">
        <f t="shared" si="30"/>
        <v>44919</v>
      </c>
      <c r="D359">
        <v>1989</v>
      </c>
      <c r="E359" t="s">
        <v>29</v>
      </c>
      <c r="F359" t="str">
        <f t="shared" si="33"/>
        <v>Home</v>
      </c>
      <c r="G359" t="s">
        <v>21</v>
      </c>
      <c r="H359" t="str">
        <f t="shared" si="34"/>
        <v>North</v>
      </c>
      <c r="I359">
        <v>4</v>
      </c>
      <c r="J359">
        <v>431.63</v>
      </c>
      <c r="K359">
        <v>0.24</v>
      </c>
      <c r="L359" t="str">
        <f t="shared" si="35"/>
        <v>Card</v>
      </c>
      <c r="M359" t="s">
        <v>16</v>
      </c>
      <c r="N359">
        <v>8</v>
      </c>
      <c r="O359">
        <v>2.7</v>
      </c>
      <c r="P359">
        <v>1312.16</v>
      </c>
      <c r="Q359">
        <f t="shared" si="31"/>
        <v>1312.16</v>
      </c>
      <c r="R359">
        <f t="shared" si="32"/>
        <v>0</v>
      </c>
    </row>
    <row r="360" spans="1:18" x14ac:dyDescent="0.35">
      <c r="A360">
        <v>10359</v>
      </c>
      <c r="B360" t="s">
        <v>237</v>
      </c>
      <c r="C360" s="1">
        <f t="shared" si="30"/>
        <v>44920</v>
      </c>
      <c r="D360">
        <v>1297</v>
      </c>
      <c r="E360" t="s">
        <v>12</v>
      </c>
      <c r="F360" t="str">
        <f t="shared" si="33"/>
        <v>Beauty</v>
      </c>
      <c r="G360" t="s">
        <v>13</v>
      </c>
      <c r="H360" t="str">
        <f t="shared" si="34"/>
        <v>South</v>
      </c>
      <c r="I360">
        <v>2</v>
      </c>
      <c r="J360">
        <v>200.49</v>
      </c>
      <c r="K360">
        <v>0.24</v>
      </c>
      <c r="L360" t="str">
        <f t="shared" si="35"/>
        <v>Card</v>
      </c>
      <c r="M360" t="s">
        <v>16</v>
      </c>
      <c r="N360">
        <v>4</v>
      </c>
      <c r="O360">
        <v>4</v>
      </c>
      <c r="P360">
        <v>304.74</v>
      </c>
      <c r="Q360">
        <f t="shared" si="31"/>
        <v>304.74</v>
      </c>
      <c r="R360">
        <f t="shared" si="32"/>
        <v>0</v>
      </c>
    </row>
    <row r="361" spans="1:18" x14ac:dyDescent="0.35">
      <c r="A361">
        <v>10360</v>
      </c>
      <c r="B361" t="s">
        <v>238</v>
      </c>
      <c r="C361" s="1">
        <f t="shared" si="30"/>
        <v>44921</v>
      </c>
      <c r="D361">
        <v>1610</v>
      </c>
      <c r="E361" t="s">
        <v>29</v>
      </c>
      <c r="F361" t="str">
        <f t="shared" si="33"/>
        <v>Home</v>
      </c>
      <c r="G361" t="s">
        <v>13</v>
      </c>
      <c r="H361" t="str">
        <f t="shared" si="34"/>
        <v>South</v>
      </c>
      <c r="I361">
        <v>3</v>
      </c>
      <c r="J361">
        <v>330.61</v>
      </c>
      <c r="K361">
        <v>0.05</v>
      </c>
      <c r="L361" t="str">
        <f t="shared" si="35"/>
        <v>Card</v>
      </c>
      <c r="M361" t="s">
        <v>16</v>
      </c>
      <c r="N361">
        <v>4</v>
      </c>
      <c r="O361">
        <v>4.9000000000000004</v>
      </c>
      <c r="P361">
        <v>942.24</v>
      </c>
      <c r="Q361">
        <f t="shared" si="31"/>
        <v>942.24</v>
      </c>
      <c r="R361">
        <f t="shared" si="32"/>
        <v>0</v>
      </c>
    </row>
    <row r="362" spans="1:18" x14ac:dyDescent="0.35">
      <c r="A362">
        <v>10361</v>
      </c>
      <c r="B362" t="s">
        <v>239</v>
      </c>
      <c r="C362" s="1">
        <f t="shared" si="30"/>
        <v>44922</v>
      </c>
      <c r="D362">
        <v>1262</v>
      </c>
      <c r="E362" t="s">
        <v>15</v>
      </c>
      <c r="F362" t="str">
        <f t="shared" si="33"/>
        <v>Clothing</v>
      </c>
      <c r="G362" t="s">
        <v>21</v>
      </c>
      <c r="H362" t="str">
        <f t="shared" si="34"/>
        <v>North</v>
      </c>
      <c r="I362">
        <v>4</v>
      </c>
      <c r="J362">
        <v>419.19</v>
      </c>
      <c r="K362">
        <v>0.12</v>
      </c>
      <c r="L362" t="str">
        <f t="shared" si="35"/>
        <v>Cod</v>
      </c>
      <c r="M362" t="s">
        <v>18</v>
      </c>
      <c r="N362">
        <v>5</v>
      </c>
      <c r="O362">
        <v>2.9</v>
      </c>
      <c r="P362">
        <v>1475.55</v>
      </c>
      <c r="Q362">
        <f t="shared" si="31"/>
        <v>1475.55</v>
      </c>
      <c r="R362">
        <f t="shared" si="32"/>
        <v>0</v>
      </c>
    </row>
    <row r="363" spans="1:18" x14ac:dyDescent="0.35">
      <c r="A363">
        <v>10362</v>
      </c>
      <c r="B363" t="s">
        <v>240</v>
      </c>
      <c r="C363" s="1">
        <f t="shared" si="30"/>
        <v>44923</v>
      </c>
      <c r="D363">
        <v>1763</v>
      </c>
      <c r="E363" t="s">
        <v>15</v>
      </c>
      <c r="F363" t="str">
        <f t="shared" si="33"/>
        <v>Clothing</v>
      </c>
      <c r="G363" t="s">
        <v>20</v>
      </c>
      <c r="H363" t="str">
        <f t="shared" si="34"/>
        <v>West</v>
      </c>
      <c r="I363">
        <v>1</v>
      </c>
      <c r="J363">
        <v>261.48</v>
      </c>
      <c r="K363">
        <v>0.02</v>
      </c>
      <c r="L363" t="str">
        <f t="shared" si="35"/>
        <v>Cod</v>
      </c>
      <c r="M363" t="s">
        <v>18</v>
      </c>
      <c r="N363">
        <v>2</v>
      </c>
      <c r="O363">
        <v>1</v>
      </c>
      <c r="P363">
        <v>256.25</v>
      </c>
      <c r="Q363">
        <f t="shared" si="31"/>
        <v>256.25</v>
      </c>
      <c r="R363">
        <f t="shared" si="32"/>
        <v>0</v>
      </c>
    </row>
    <row r="364" spans="1:18" x14ac:dyDescent="0.35">
      <c r="A364">
        <v>10363</v>
      </c>
      <c r="B364" t="s">
        <v>241</v>
      </c>
      <c r="C364" s="1">
        <f t="shared" si="30"/>
        <v>44924</v>
      </c>
      <c r="D364">
        <v>1143</v>
      </c>
      <c r="E364" t="s">
        <v>29</v>
      </c>
      <c r="F364" t="str">
        <f t="shared" si="33"/>
        <v>Home</v>
      </c>
      <c r="G364" t="s">
        <v>21</v>
      </c>
      <c r="H364" t="str">
        <f t="shared" si="34"/>
        <v>North</v>
      </c>
      <c r="I364">
        <v>2</v>
      </c>
      <c r="J364">
        <v>514.6</v>
      </c>
      <c r="K364">
        <v>0.25</v>
      </c>
      <c r="L364" t="str">
        <f t="shared" si="35"/>
        <v>Cod</v>
      </c>
      <c r="M364" t="s">
        <v>18</v>
      </c>
      <c r="N364">
        <v>1</v>
      </c>
      <c r="O364">
        <v>3.4</v>
      </c>
      <c r="P364">
        <v>771.9</v>
      </c>
      <c r="Q364">
        <f t="shared" si="31"/>
        <v>771.9</v>
      </c>
      <c r="R364">
        <f t="shared" si="32"/>
        <v>0</v>
      </c>
    </row>
    <row r="365" spans="1:18" x14ac:dyDescent="0.35">
      <c r="A365">
        <v>10364</v>
      </c>
      <c r="B365" t="s">
        <v>242</v>
      </c>
      <c r="C365" s="1">
        <f t="shared" si="30"/>
        <v>44925</v>
      </c>
      <c r="D365">
        <v>1345</v>
      </c>
      <c r="E365" t="s">
        <v>19</v>
      </c>
      <c r="F365" t="str">
        <f t="shared" si="33"/>
        <v>Electronics</v>
      </c>
      <c r="G365" t="s">
        <v>20</v>
      </c>
      <c r="H365" t="str">
        <f t="shared" si="34"/>
        <v>West</v>
      </c>
      <c r="I365">
        <v>5</v>
      </c>
      <c r="J365">
        <v>466.36</v>
      </c>
      <c r="K365">
        <v>0.33</v>
      </c>
      <c r="L365" t="str">
        <f t="shared" si="35"/>
        <v>Card</v>
      </c>
      <c r="M365" t="s">
        <v>16</v>
      </c>
      <c r="N365">
        <v>5</v>
      </c>
      <c r="O365">
        <v>3.6</v>
      </c>
      <c r="P365">
        <v>1562.31</v>
      </c>
      <c r="Q365">
        <f t="shared" si="31"/>
        <v>1562.31</v>
      </c>
      <c r="R365">
        <f t="shared" si="32"/>
        <v>0</v>
      </c>
    </row>
    <row r="366" spans="1:18" x14ac:dyDescent="0.35">
      <c r="A366">
        <v>10365</v>
      </c>
      <c r="B366" t="s">
        <v>243</v>
      </c>
      <c r="C366" s="1">
        <f t="shared" si="30"/>
        <v>44926</v>
      </c>
      <c r="D366">
        <v>1623</v>
      </c>
      <c r="E366" t="s">
        <v>15</v>
      </c>
      <c r="F366" t="str">
        <f t="shared" si="33"/>
        <v>Clothing</v>
      </c>
      <c r="G366" t="s">
        <v>21</v>
      </c>
      <c r="H366" t="str">
        <f t="shared" si="34"/>
        <v>North</v>
      </c>
      <c r="I366">
        <v>1</v>
      </c>
      <c r="J366">
        <v>52.83</v>
      </c>
      <c r="K366">
        <v>0.09</v>
      </c>
      <c r="L366" t="str">
        <f t="shared" si="35"/>
        <v>Card</v>
      </c>
      <c r="M366" t="s">
        <v>16</v>
      </c>
      <c r="N366">
        <v>7</v>
      </c>
      <c r="O366">
        <v>4.3</v>
      </c>
      <c r="P366">
        <v>48.08</v>
      </c>
      <c r="Q366">
        <f t="shared" si="31"/>
        <v>48.08</v>
      </c>
      <c r="R366">
        <f t="shared" si="32"/>
        <v>0</v>
      </c>
    </row>
    <row r="367" spans="1:18" x14ac:dyDescent="0.35">
      <c r="A367">
        <v>10366</v>
      </c>
      <c r="B367" s="1">
        <v>44927</v>
      </c>
      <c r="C367" s="1">
        <f t="shared" si="30"/>
        <v>44927</v>
      </c>
      <c r="D367">
        <v>1571</v>
      </c>
      <c r="E367" t="s">
        <v>29</v>
      </c>
      <c r="F367" t="str">
        <f t="shared" si="33"/>
        <v>Home</v>
      </c>
      <c r="G367" t="s">
        <v>20</v>
      </c>
      <c r="H367" t="str">
        <f t="shared" si="34"/>
        <v>West</v>
      </c>
      <c r="I367">
        <v>6</v>
      </c>
      <c r="J367">
        <v>378.36</v>
      </c>
      <c r="K367">
        <v>0.03</v>
      </c>
      <c r="L367" t="str">
        <f t="shared" si="35"/>
        <v>Wallet</v>
      </c>
      <c r="M367" t="s">
        <v>14</v>
      </c>
      <c r="N367">
        <v>10</v>
      </c>
      <c r="O367">
        <v>1.8</v>
      </c>
      <c r="P367">
        <v>2202.06</v>
      </c>
      <c r="Q367">
        <f t="shared" si="31"/>
        <v>2202.06</v>
      </c>
      <c r="R367">
        <f t="shared" si="32"/>
        <v>0</v>
      </c>
    </row>
    <row r="368" spans="1:18" x14ac:dyDescent="0.35">
      <c r="A368">
        <v>10367</v>
      </c>
      <c r="B368" s="1">
        <v>44958</v>
      </c>
      <c r="C368" s="1">
        <f t="shared" si="30"/>
        <v>44928</v>
      </c>
      <c r="D368">
        <v>1880</v>
      </c>
      <c r="E368" t="s">
        <v>19</v>
      </c>
      <c r="F368" t="str">
        <f t="shared" si="33"/>
        <v>Electronics</v>
      </c>
      <c r="G368" t="s">
        <v>21</v>
      </c>
      <c r="H368" t="str">
        <f t="shared" si="34"/>
        <v>North</v>
      </c>
      <c r="I368">
        <v>4</v>
      </c>
      <c r="J368">
        <v>152.66999999999999</v>
      </c>
      <c r="K368">
        <v>0.17</v>
      </c>
      <c r="L368" t="str">
        <f t="shared" si="35"/>
        <v>Card</v>
      </c>
      <c r="M368" t="s">
        <v>16</v>
      </c>
      <c r="N368">
        <v>9</v>
      </c>
      <c r="O368">
        <v>3.1</v>
      </c>
      <c r="P368">
        <v>506.86</v>
      </c>
      <c r="Q368">
        <f t="shared" si="31"/>
        <v>506.86</v>
      </c>
      <c r="R368">
        <f t="shared" si="32"/>
        <v>0</v>
      </c>
    </row>
    <row r="369" spans="1:18" x14ac:dyDescent="0.35">
      <c r="A369">
        <v>10368</v>
      </c>
      <c r="B369" s="1">
        <v>44986</v>
      </c>
      <c r="C369" s="1">
        <f t="shared" si="30"/>
        <v>44929</v>
      </c>
      <c r="D369">
        <v>1001</v>
      </c>
      <c r="E369" t="s">
        <v>29</v>
      </c>
      <c r="F369" t="str">
        <f t="shared" si="33"/>
        <v>Home</v>
      </c>
      <c r="G369" t="s">
        <v>17</v>
      </c>
      <c r="H369" t="str">
        <f t="shared" si="34"/>
        <v>East</v>
      </c>
      <c r="I369">
        <v>2</v>
      </c>
      <c r="J369">
        <v>341.15</v>
      </c>
      <c r="K369">
        <v>0.3</v>
      </c>
      <c r="L369" t="str">
        <f t="shared" si="35"/>
        <v>Wallet</v>
      </c>
      <c r="M369" t="s">
        <v>14</v>
      </c>
      <c r="N369">
        <v>2</v>
      </c>
      <c r="O369">
        <v>2.8</v>
      </c>
      <c r="P369">
        <v>477.61</v>
      </c>
      <c r="Q369">
        <f t="shared" si="31"/>
        <v>477.61</v>
      </c>
      <c r="R369">
        <f t="shared" si="32"/>
        <v>0</v>
      </c>
    </row>
    <row r="370" spans="1:18" x14ac:dyDescent="0.35">
      <c r="A370">
        <v>10369</v>
      </c>
      <c r="B370" s="1">
        <v>45017</v>
      </c>
      <c r="C370" s="1">
        <f t="shared" si="30"/>
        <v>44930</v>
      </c>
      <c r="D370">
        <v>1896</v>
      </c>
      <c r="E370" t="s">
        <v>15</v>
      </c>
      <c r="F370" t="str">
        <f t="shared" si="33"/>
        <v>Clothing</v>
      </c>
      <c r="G370" t="s">
        <v>20</v>
      </c>
      <c r="H370" t="str">
        <f t="shared" si="34"/>
        <v>West</v>
      </c>
      <c r="I370">
        <v>2</v>
      </c>
      <c r="J370">
        <v>574.78</v>
      </c>
      <c r="K370">
        <v>0.19</v>
      </c>
      <c r="L370" t="str">
        <f t="shared" si="35"/>
        <v>Cod</v>
      </c>
      <c r="M370" t="s">
        <v>18</v>
      </c>
      <c r="N370">
        <v>8</v>
      </c>
      <c r="O370">
        <v>3.7</v>
      </c>
      <c r="P370">
        <v>931.14</v>
      </c>
      <c r="Q370">
        <f t="shared" si="31"/>
        <v>931.14</v>
      </c>
      <c r="R370">
        <f t="shared" si="32"/>
        <v>0</v>
      </c>
    </row>
    <row r="371" spans="1:18" x14ac:dyDescent="0.35">
      <c r="A371">
        <v>10370</v>
      </c>
      <c r="B371" s="1">
        <v>45047</v>
      </c>
      <c r="C371" s="1">
        <f t="shared" si="30"/>
        <v>44931</v>
      </c>
      <c r="D371">
        <v>1303</v>
      </c>
      <c r="E371" t="s">
        <v>12</v>
      </c>
      <c r="F371" t="str">
        <f t="shared" si="33"/>
        <v>Beauty</v>
      </c>
      <c r="G371" t="s">
        <v>13</v>
      </c>
      <c r="H371" t="str">
        <f t="shared" si="34"/>
        <v>South</v>
      </c>
      <c r="I371">
        <v>7</v>
      </c>
      <c r="J371">
        <v>529.25</v>
      </c>
      <c r="K371">
        <v>0.02</v>
      </c>
      <c r="L371" t="str">
        <f t="shared" si="35"/>
        <v>Card</v>
      </c>
      <c r="M371" t="s">
        <v>16</v>
      </c>
      <c r="N371">
        <v>7</v>
      </c>
      <c r="O371">
        <v>1.3</v>
      </c>
      <c r="P371">
        <v>3630.66</v>
      </c>
      <c r="Q371">
        <f t="shared" si="31"/>
        <v>3630.66</v>
      </c>
      <c r="R371">
        <f t="shared" si="32"/>
        <v>0</v>
      </c>
    </row>
    <row r="372" spans="1:18" x14ac:dyDescent="0.35">
      <c r="A372">
        <v>10371</v>
      </c>
      <c r="B372" s="1">
        <v>45078</v>
      </c>
      <c r="C372" s="1">
        <f t="shared" si="30"/>
        <v>44932</v>
      </c>
      <c r="D372">
        <v>1253</v>
      </c>
      <c r="E372" t="s">
        <v>19</v>
      </c>
      <c r="F372" t="str">
        <f t="shared" si="33"/>
        <v>Electronics</v>
      </c>
      <c r="G372" t="s">
        <v>21</v>
      </c>
      <c r="H372" t="str">
        <f t="shared" si="34"/>
        <v>North</v>
      </c>
      <c r="I372">
        <v>7</v>
      </c>
      <c r="J372">
        <v>251.64</v>
      </c>
      <c r="K372">
        <v>0.34</v>
      </c>
      <c r="L372" t="str">
        <f t="shared" si="35"/>
        <v>Cod</v>
      </c>
      <c r="M372" t="s">
        <v>18</v>
      </c>
      <c r="N372">
        <v>2</v>
      </c>
      <c r="O372">
        <v>4.5</v>
      </c>
      <c r="P372">
        <v>1162.58</v>
      </c>
      <c r="Q372">
        <f t="shared" si="31"/>
        <v>1162.58</v>
      </c>
      <c r="R372">
        <f t="shared" si="32"/>
        <v>0</v>
      </c>
    </row>
    <row r="373" spans="1:18" x14ac:dyDescent="0.35">
      <c r="A373">
        <v>10372</v>
      </c>
      <c r="B373" s="1">
        <v>45108</v>
      </c>
      <c r="C373" s="1">
        <f t="shared" si="30"/>
        <v>44933</v>
      </c>
      <c r="D373">
        <v>1651</v>
      </c>
      <c r="E373" t="s">
        <v>19</v>
      </c>
      <c r="F373" t="str">
        <f t="shared" si="33"/>
        <v>Electronics</v>
      </c>
      <c r="G373" t="s">
        <v>13</v>
      </c>
      <c r="H373" t="str">
        <f t="shared" si="34"/>
        <v>South</v>
      </c>
      <c r="I373">
        <v>1</v>
      </c>
      <c r="J373">
        <v>185.54</v>
      </c>
      <c r="K373">
        <v>0.28999999999999998</v>
      </c>
      <c r="L373" t="str">
        <f t="shared" si="35"/>
        <v>Wallet</v>
      </c>
      <c r="M373" t="s">
        <v>14</v>
      </c>
      <c r="N373">
        <v>5</v>
      </c>
      <c r="O373">
        <v>3</v>
      </c>
      <c r="P373">
        <v>131.72999999999999</v>
      </c>
      <c r="Q373">
        <f t="shared" si="31"/>
        <v>131.72999999999999</v>
      </c>
      <c r="R373">
        <f t="shared" si="32"/>
        <v>0</v>
      </c>
    </row>
    <row r="374" spans="1:18" x14ac:dyDescent="0.35">
      <c r="A374">
        <v>10373</v>
      </c>
      <c r="B374" s="1">
        <v>45139</v>
      </c>
      <c r="C374" s="1">
        <f t="shared" si="30"/>
        <v>44934</v>
      </c>
      <c r="D374">
        <v>1452</v>
      </c>
      <c r="E374" t="s">
        <v>15</v>
      </c>
      <c r="F374" t="str">
        <f t="shared" si="33"/>
        <v>Clothing</v>
      </c>
      <c r="G374" t="s">
        <v>21</v>
      </c>
      <c r="H374" t="str">
        <f t="shared" si="34"/>
        <v>North</v>
      </c>
      <c r="I374">
        <v>2</v>
      </c>
      <c r="J374">
        <v>152.13</v>
      </c>
      <c r="K374">
        <v>0.05</v>
      </c>
      <c r="L374" t="str">
        <f t="shared" si="35"/>
        <v>Card</v>
      </c>
      <c r="M374" t="s">
        <v>16</v>
      </c>
      <c r="N374">
        <v>7</v>
      </c>
      <c r="O374">
        <v>4.5</v>
      </c>
      <c r="P374">
        <v>289.05</v>
      </c>
      <c r="Q374">
        <f t="shared" si="31"/>
        <v>289.05</v>
      </c>
      <c r="R374">
        <f t="shared" si="32"/>
        <v>0</v>
      </c>
    </row>
    <row r="375" spans="1:18" x14ac:dyDescent="0.35">
      <c r="A375">
        <v>10374</v>
      </c>
      <c r="B375" s="1">
        <v>45170</v>
      </c>
      <c r="C375" s="1">
        <f t="shared" si="30"/>
        <v>44935</v>
      </c>
      <c r="D375">
        <v>1036</v>
      </c>
      <c r="E375" t="s">
        <v>19</v>
      </c>
      <c r="F375" t="str">
        <f t="shared" si="33"/>
        <v>Electronics</v>
      </c>
      <c r="G375" t="s">
        <v>13</v>
      </c>
      <c r="H375" t="str">
        <f t="shared" si="34"/>
        <v>South</v>
      </c>
      <c r="I375">
        <v>4</v>
      </c>
      <c r="J375">
        <v>326.52</v>
      </c>
      <c r="K375">
        <v>0.32</v>
      </c>
      <c r="L375" t="str">
        <f t="shared" si="35"/>
        <v>Wallet</v>
      </c>
      <c r="M375" t="s">
        <v>14</v>
      </c>
      <c r="N375">
        <v>3</v>
      </c>
      <c r="O375">
        <v>2.4</v>
      </c>
      <c r="P375">
        <v>888.13</v>
      </c>
      <c r="Q375">
        <f t="shared" si="31"/>
        <v>888.13</v>
      </c>
      <c r="R375">
        <f t="shared" si="32"/>
        <v>0</v>
      </c>
    </row>
    <row r="376" spans="1:18" x14ac:dyDescent="0.35">
      <c r="A376">
        <v>10375</v>
      </c>
      <c r="B376" s="1">
        <v>45200</v>
      </c>
      <c r="C376" s="1">
        <f t="shared" si="30"/>
        <v>44936</v>
      </c>
      <c r="D376">
        <v>1159</v>
      </c>
      <c r="E376" t="s">
        <v>29</v>
      </c>
      <c r="F376" t="str">
        <f t="shared" si="33"/>
        <v>Home</v>
      </c>
      <c r="G376" t="s">
        <v>13</v>
      </c>
      <c r="H376" t="str">
        <f t="shared" si="34"/>
        <v>South</v>
      </c>
      <c r="I376">
        <v>1</v>
      </c>
      <c r="J376">
        <v>81.84</v>
      </c>
      <c r="K376">
        <v>0.16</v>
      </c>
      <c r="L376" t="str">
        <f t="shared" si="35"/>
        <v>Card</v>
      </c>
      <c r="M376" t="s">
        <v>16</v>
      </c>
      <c r="N376">
        <v>2</v>
      </c>
      <c r="O376">
        <v>3.6</v>
      </c>
      <c r="P376">
        <v>68.75</v>
      </c>
      <c r="Q376">
        <f t="shared" si="31"/>
        <v>68.75</v>
      </c>
      <c r="R376">
        <f t="shared" si="32"/>
        <v>0</v>
      </c>
    </row>
    <row r="377" spans="1:18" x14ac:dyDescent="0.35">
      <c r="A377">
        <v>10376</v>
      </c>
      <c r="B377" s="1">
        <v>45231</v>
      </c>
      <c r="C377" s="1">
        <f t="shared" si="30"/>
        <v>44937</v>
      </c>
      <c r="D377">
        <v>1008</v>
      </c>
      <c r="E377" t="s">
        <v>29</v>
      </c>
      <c r="F377" t="str">
        <f t="shared" si="33"/>
        <v>Home</v>
      </c>
      <c r="G377" t="s">
        <v>21</v>
      </c>
      <c r="H377" t="str">
        <f t="shared" si="34"/>
        <v>North</v>
      </c>
      <c r="I377">
        <v>5</v>
      </c>
      <c r="J377">
        <v>336.33</v>
      </c>
      <c r="K377">
        <v>0.13</v>
      </c>
      <c r="L377" t="str">
        <f t="shared" si="35"/>
        <v>Cod</v>
      </c>
      <c r="M377" t="s">
        <v>18</v>
      </c>
      <c r="N377">
        <v>6</v>
      </c>
      <c r="O377">
        <v>4.8</v>
      </c>
      <c r="P377">
        <v>1463.04</v>
      </c>
      <c r="Q377">
        <f t="shared" si="31"/>
        <v>1463.04</v>
      </c>
      <c r="R377">
        <f t="shared" si="32"/>
        <v>0</v>
      </c>
    </row>
    <row r="378" spans="1:18" x14ac:dyDescent="0.35">
      <c r="A378">
        <v>10377</v>
      </c>
      <c r="B378" s="1">
        <v>45261</v>
      </c>
      <c r="C378" s="1">
        <f t="shared" si="30"/>
        <v>44938</v>
      </c>
      <c r="D378">
        <v>1232</v>
      </c>
      <c r="E378" t="s">
        <v>19</v>
      </c>
      <c r="F378" t="str">
        <f t="shared" si="33"/>
        <v>Electronics</v>
      </c>
      <c r="G378" t="s">
        <v>21</v>
      </c>
      <c r="H378" t="str">
        <f t="shared" si="34"/>
        <v>North</v>
      </c>
      <c r="I378">
        <v>1</v>
      </c>
      <c r="J378">
        <v>15.78</v>
      </c>
      <c r="K378">
        <v>0.16</v>
      </c>
      <c r="L378" t="str">
        <f t="shared" si="35"/>
        <v>Wallet</v>
      </c>
      <c r="M378" t="s">
        <v>14</v>
      </c>
      <c r="N378">
        <v>10</v>
      </c>
      <c r="O378">
        <v>4.8</v>
      </c>
      <c r="P378">
        <v>13.26</v>
      </c>
      <c r="Q378">
        <f t="shared" si="31"/>
        <v>13.26</v>
      </c>
      <c r="R378">
        <f t="shared" si="32"/>
        <v>0</v>
      </c>
    </row>
    <row r="379" spans="1:18" x14ac:dyDescent="0.35">
      <c r="A379">
        <v>10378</v>
      </c>
      <c r="B379" t="s">
        <v>244</v>
      </c>
      <c r="C379" s="1">
        <f t="shared" si="30"/>
        <v>44939</v>
      </c>
      <c r="D379">
        <v>1098</v>
      </c>
      <c r="E379" t="s">
        <v>15</v>
      </c>
      <c r="F379" t="str">
        <f t="shared" si="33"/>
        <v>Clothing</v>
      </c>
      <c r="G379" t="s">
        <v>13</v>
      </c>
      <c r="H379" t="str">
        <f t="shared" si="34"/>
        <v>South</v>
      </c>
      <c r="I379">
        <v>1</v>
      </c>
      <c r="J379">
        <v>204.45</v>
      </c>
      <c r="K379">
        <v>0.28999999999999998</v>
      </c>
      <c r="L379" t="str">
        <f t="shared" si="35"/>
        <v>Wallet</v>
      </c>
      <c r="M379" t="s">
        <v>14</v>
      </c>
      <c r="N379">
        <v>6</v>
      </c>
      <c r="O379">
        <v>4.8</v>
      </c>
      <c r="P379">
        <v>145.16</v>
      </c>
      <c r="Q379">
        <f t="shared" si="31"/>
        <v>145.16</v>
      </c>
      <c r="R379">
        <f t="shared" si="32"/>
        <v>0</v>
      </c>
    </row>
    <row r="380" spans="1:18" x14ac:dyDescent="0.35">
      <c r="A380">
        <v>10379</v>
      </c>
      <c r="B380" t="s">
        <v>245</v>
      </c>
      <c r="C380" s="1">
        <f t="shared" si="30"/>
        <v>44940</v>
      </c>
      <c r="D380">
        <v>1658</v>
      </c>
      <c r="E380" t="s">
        <v>15</v>
      </c>
      <c r="F380" t="str">
        <f t="shared" si="33"/>
        <v>Clothing</v>
      </c>
      <c r="G380" t="s">
        <v>13</v>
      </c>
      <c r="H380" t="str">
        <f t="shared" si="34"/>
        <v>South</v>
      </c>
      <c r="I380">
        <v>5</v>
      </c>
      <c r="J380">
        <v>143.66</v>
      </c>
      <c r="K380">
        <v>0.23</v>
      </c>
      <c r="L380" t="str">
        <f t="shared" si="35"/>
        <v>Cod</v>
      </c>
      <c r="M380" t="s">
        <v>18</v>
      </c>
      <c r="N380">
        <v>11</v>
      </c>
      <c r="O380">
        <v>1.2</v>
      </c>
      <c r="P380">
        <v>553.09</v>
      </c>
      <c r="Q380">
        <f t="shared" si="31"/>
        <v>553.09</v>
      </c>
      <c r="R380">
        <f t="shared" si="32"/>
        <v>0</v>
      </c>
    </row>
    <row r="381" spans="1:18" x14ac:dyDescent="0.35">
      <c r="A381">
        <v>10380</v>
      </c>
      <c r="B381" t="s">
        <v>246</v>
      </c>
      <c r="C381" s="1">
        <f t="shared" si="30"/>
        <v>44941</v>
      </c>
      <c r="D381">
        <v>1815</v>
      </c>
      <c r="E381" t="s">
        <v>15</v>
      </c>
      <c r="F381" t="str">
        <f t="shared" si="33"/>
        <v>Clothing</v>
      </c>
      <c r="G381" t="s">
        <v>13</v>
      </c>
      <c r="H381" t="str">
        <f t="shared" si="34"/>
        <v>South</v>
      </c>
      <c r="I381">
        <v>6</v>
      </c>
      <c r="J381">
        <v>583.16</v>
      </c>
      <c r="K381">
        <v>0.02</v>
      </c>
      <c r="L381" t="str">
        <f t="shared" si="35"/>
        <v>Cod</v>
      </c>
      <c r="M381" t="s">
        <v>18</v>
      </c>
      <c r="N381">
        <v>4</v>
      </c>
      <c r="O381">
        <v>2.6</v>
      </c>
      <c r="P381">
        <v>3428.98</v>
      </c>
      <c r="Q381">
        <f t="shared" si="31"/>
        <v>3428.98</v>
      </c>
      <c r="R381">
        <f t="shared" si="32"/>
        <v>0</v>
      </c>
    </row>
    <row r="382" spans="1:18" x14ac:dyDescent="0.35">
      <c r="A382">
        <v>10381</v>
      </c>
      <c r="B382" t="s">
        <v>247</v>
      </c>
      <c r="C382" s="1">
        <f t="shared" si="30"/>
        <v>44942</v>
      </c>
      <c r="D382">
        <v>1207</v>
      </c>
      <c r="E382" t="s">
        <v>12</v>
      </c>
      <c r="F382" t="str">
        <f t="shared" si="33"/>
        <v>Beauty</v>
      </c>
      <c r="G382" t="s">
        <v>20</v>
      </c>
      <c r="H382" t="str">
        <f t="shared" si="34"/>
        <v>West</v>
      </c>
      <c r="I382">
        <v>7</v>
      </c>
      <c r="J382">
        <v>440.44</v>
      </c>
      <c r="K382">
        <v>0.34</v>
      </c>
      <c r="L382" t="str">
        <f t="shared" si="35"/>
        <v>Card</v>
      </c>
      <c r="M382" t="s">
        <v>16</v>
      </c>
      <c r="N382">
        <v>1</v>
      </c>
      <c r="O382">
        <v>1.2</v>
      </c>
      <c r="P382">
        <v>2034.83</v>
      </c>
      <c r="Q382">
        <f t="shared" si="31"/>
        <v>2034.83</v>
      </c>
      <c r="R382">
        <f t="shared" si="32"/>
        <v>0</v>
      </c>
    </row>
    <row r="383" spans="1:18" x14ac:dyDescent="0.35">
      <c r="A383">
        <v>10382</v>
      </c>
      <c r="B383" t="s">
        <v>248</v>
      </c>
      <c r="C383" s="1">
        <f t="shared" si="30"/>
        <v>44943</v>
      </c>
      <c r="D383">
        <v>1130</v>
      </c>
      <c r="E383" t="s">
        <v>29</v>
      </c>
      <c r="F383" t="str">
        <f t="shared" si="33"/>
        <v>Home</v>
      </c>
      <c r="G383" t="s">
        <v>20</v>
      </c>
      <c r="H383" t="str">
        <f t="shared" si="34"/>
        <v>West</v>
      </c>
      <c r="I383">
        <v>4</v>
      </c>
      <c r="J383">
        <v>219.55</v>
      </c>
      <c r="K383">
        <v>0.05</v>
      </c>
      <c r="L383" t="str">
        <f t="shared" si="35"/>
        <v>Card</v>
      </c>
      <c r="M383" t="s">
        <v>16</v>
      </c>
      <c r="N383">
        <v>5</v>
      </c>
      <c r="O383">
        <v>2.2000000000000002</v>
      </c>
      <c r="P383">
        <v>834.29</v>
      </c>
      <c r="Q383">
        <f t="shared" si="31"/>
        <v>834.29</v>
      </c>
      <c r="R383">
        <f t="shared" si="32"/>
        <v>0</v>
      </c>
    </row>
    <row r="384" spans="1:18" x14ac:dyDescent="0.35">
      <c r="A384">
        <v>10383</v>
      </c>
      <c r="B384" t="s">
        <v>249</v>
      </c>
      <c r="C384" s="1">
        <f t="shared" si="30"/>
        <v>44944</v>
      </c>
      <c r="D384">
        <v>1403</v>
      </c>
      <c r="E384" t="s">
        <v>29</v>
      </c>
      <c r="F384" t="str">
        <f t="shared" si="33"/>
        <v>Home</v>
      </c>
      <c r="G384" t="s">
        <v>17</v>
      </c>
      <c r="H384" t="str">
        <f t="shared" si="34"/>
        <v>East</v>
      </c>
      <c r="I384">
        <v>6</v>
      </c>
      <c r="J384">
        <v>69.31</v>
      </c>
      <c r="K384">
        <v>0.26</v>
      </c>
      <c r="L384" t="str">
        <f t="shared" si="35"/>
        <v>Card</v>
      </c>
      <c r="M384" t="s">
        <v>16</v>
      </c>
      <c r="N384">
        <v>1</v>
      </c>
      <c r="O384">
        <v>1.7</v>
      </c>
      <c r="P384">
        <v>307.74</v>
      </c>
      <c r="Q384">
        <f t="shared" si="31"/>
        <v>307.74</v>
      </c>
      <c r="R384">
        <f t="shared" si="32"/>
        <v>0</v>
      </c>
    </row>
    <row r="385" spans="1:18" x14ac:dyDescent="0.35">
      <c r="A385">
        <v>10384</v>
      </c>
      <c r="B385" t="s">
        <v>250</v>
      </c>
      <c r="C385" s="1">
        <f t="shared" si="30"/>
        <v>44945</v>
      </c>
      <c r="D385">
        <v>1151</v>
      </c>
      <c r="E385" t="s">
        <v>29</v>
      </c>
      <c r="F385" t="str">
        <f t="shared" si="33"/>
        <v>Home</v>
      </c>
      <c r="G385" t="s">
        <v>20</v>
      </c>
      <c r="H385" t="str">
        <f t="shared" si="34"/>
        <v>West</v>
      </c>
      <c r="I385">
        <v>6</v>
      </c>
      <c r="J385">
        <v>317.33</v>
      </c>
      <c r="K385">
        <v>0.22</v>
      </c>
      <c r="L385" t="str">
        <f t="shared" si="35"/>
        <v>Card</v>
      </c>
      <c r="M385" t="s">
        <v>16</v>
      </c>
      <c r="N385">
        <v>11</v>
      </c>
      <c r="O385">
        <v>3.5</v>
      </c>
      <c r="P385">
        <v>1485.1</v>
      </c>
      <c r="Q385">
        <f t="shared" si="31"/>
        <v>1485.1</v>
      </c>
      <c r="R385">
        <f t="shared" si="32"/>
        <v>0</v>
      </c>
    </row>
    <row r="386" spans="1:18" x14ac:dyDescent="0.35">
      <c r="A386">
        <v>10385</v>
      </c>
      <c r="B386" t="s">
        <v>251</v>
      </c>
      <c r="C386" s="1">
        <f t="shared" ref="C386:C449" si="36">DATE(2022,1,1)+A386-10001</f>
        <v>44946</v>
      </c>
      <c r="D386">
        <v>1053</v>
      </c>
      <c r="E386" t="s">
        <v>15</v>
      </c>
      <c r="F386" t="str">
        <f t="shared" si="33"/>
        <v>Clothing</v>
      </c>
      <c r="G386" t="s">
        <v>20</v>
      </c>
      <c r="H386" t="str">
        <f t="shared" si="34"/>
        <v>West</v>
      </c>
      <c r="I386">
        <v>6</v>
      </c>
      <c r="J386">
        <v>139.87</v>
      </c>
      <c r="K386">
        <v>7.0000000000000007E-2</v>
      </c>
      <c r="L386" t="str">
        <f t="shared" si="35"/>
        <v>Card</v>
      </c>
      <c r="M386" t="s">
        <v>16</v>
      </c>
      <c r="N386">
        <v>11</v>
      </c>
      <c r="O386">
        <v>4.0999999999999996</v>
      </c>
      <c r="P386">
        <v>780.47</v>
      </c>
      <c r="Q386">
        <f t="shared" ref="Q386:Q449" si="37">ROUND(I386*J386*(1-K386),2)</f>
        <v>780.47</v>
      </c>
      <c r="R386">
        <f t="shared" ref="R386:R449" si="38">ROUND(P386-Q386,2)</f>
        <v>0</v>
      </c>
    </row>
    <row r="387" spans="1:18" x14ac:dyDescent="0.35">
      <c r="A387">
        <v>10386</v>
      </c>
      <c r="B387" t="s">
        <v>252</v>
      </c>
      <c r="C387" s="1">
        <f t="shared" si="36"/>
        <v>44947</v>
      </c>
      <c r="D387">
        <v>1119</v>
      </c>
      <c r="E387" t="s">
        <v>12</v>
      </c>
      <c r="F387" t="str">
        <f t="shared" ref="F387:F450" si="39">TRIM(PROPER(E387))</f>
        <v>Beauty</v>
      </c>
      <c r="G387" t="s">
        <v>21</v>
      </c>
      <c r="H387" t="str">
        <f t="shared" ref="H387:H450" si="40">TRIM(PROPER(G387))</f>
        <v>North</v>
      </c>
      <c r="I387">
        <v>7</v>
      </c>
      <c r="J387">
        <v>328.81</v>
      </c>
      <c r="K387">
        <v>0.06</v>
      </c>
      <c r="L387" t="str">
        <f t="shared" ref="L387:L450" si="41">TRIM(PROPER(M387))</f>
        <v>Card</v>
      </c>
      <c r="M387" t="s">
        <v>16</v>
      </c>
      <c r="N387">
        <v>8</v>
      </c>
      <c r="O387">
        <v>3.1</v>
      </c>
      <c r="P387">
        <v>2163.5700000000002</v>
      </c>
      <c r="Q387">
        <f t="shared" si="37"/>
        <v>2163.5700000000002</v>
      </c>
      <c r="R387">
        <f t="shared" si="38"/>
        <v>0</v>
      </c>
    </row>
    <row r="388" spans="1:18" x14ac:dyDescent="0.35">
      <c r="A388">
        <v>10387</v>
      </c>
      <c r="B388" t="s">
        <v>253</v>
      </c>
      <c r="C388" s="1">
        <f t="shared" si="36"/>
        <v>44948</v>
      </c>
      <c r="D388">
        <v>1672</v>
      </c>
      <c r="E388" t="s">
        <v>29</v>
      </c>
      <c r="F388" t="str">
        <f t="shared" si="39"/>
        <v>Home</v>
      </c>
      <c r="G388" t="s">
        <v>17</v>
      </c>
      <c r="H388" t="str">
        <f t="shared" si="40"/>
        <v>East</v>
      </c>
      <c r="I388">
        <v>3</v>
      </c>
      <c r="J388">
        <v>503.69</v>
      </c>
      <c r="K388">
        <v>0.3</v>
      </c>
      <c r="L388" t="str">
        <f t="shared" si="41"/>
        <v>Wallet</v>
      </c>
      <c r="M388" t="s">
        <v>14</v>
      </c>
      <c r="N388">
        <v>2</v>
      </c>
      <c r="O388">
        <v>4.2</v>
      </c>
      <c r="P388">
        <v>1057.75</v>
      </c>
      <c r="Q388">
        <f t="shared" si="37"/>
        <v>1057.75</v>
      </c>
      <c r="R388">
        <f t="shared" si="38"/>
        <v>0</v>
      </c>
    </row>
    <row r="389" spans="1:18" x14ac:dyDescent="0.35">
      <c r="A389">
        <v>10388</v>
      </c>
      <c r="B389" t="s">
        <v>254</v>
      </c>
      <c r="C389" s="1">
        <f t="shared" si="36"/>
        <v>44949</v>
      </c>
      <c r="D389">
        <v>1919</v>
      </c>
      <c r="E389" t="s">
        <v>29</v>
      </c>
      <c r="F389" t="str">
        <f t="shared" si="39"/>
        <v>Home</v>
      </c>
      <c r="G389" t="s">
        <v>17</v>
      </c>
      <c r="H389" t="str">
        <f t="shared" si="40"/>
        <v>East</v>
      </c>
      <c r="I389">
        <v>7</v>
      </c>
      <c r="J389">
        <v>375.24</v>
      </c>
      <c r="K389">
        <v>0.15</v>
      </c>
      <c r="L389" t="str">
        <f t="shared" si="41"/>
        <v>Cod</v>
      </c>
      <c r="M389" t="s">
        <v>18</v>
      </c>
      <c r="N389">
        <v>9</v>
      </c>
      <c r="O389">
        <v>1.1000000000000001</v>
      </c>
      <c r="P389">
        <v>2232.6799999999998</v>
      </c>
      <c r="Q389">
        <f t="shared" si="37"/>
        <v>2232.6799999999998</v>
      </c>
      <c r="R389">
        <f t="shared" si="38"/>
        <v>0</v>
      </c>
    </row>
    <row r="390" spans="1:18" x14ac:dyDescent="0.35">
      <c r="A390">
        <v>10389</v>
      </c>
      <c r="B390" t="s">
        <v>255</v>
      </c>
      <c r="C390" s="1">
        <f t="shared" si="36"/>
        <v>44950</v>
      </c>
      <c r="D390">
        <v>1627</v>
      </c>
      <c r="E390" t="s">
        <v>12</v>
      </c>
      <c r="F390" t="str">
        <f t="shared" si="39"/>
        <v>Beauty</v>
      </c>
      <c r="G390" t="s">
        <v>20</v>
      </c>
      <c r="H390" t="str">
        <f t="shared" si="40"/>
        <v>West</v>
      </c>
      <c r="I390">
        <v>6</v>
      </c>
      <c r="J390">
        <v>385.77</v>
      </c>
      <c r="K390">
        <v>0.23</v>
      </c>
      <c r="L390" t="str">
        <f t="shared" si="41"/>
        <v>Card</v>
      </c>
      <c r="M390" t="s">
        <v>16</v>
      </c>
      <c r="N390">
        <v>9</v>
      </c>
      <c r="O390">
        <v>4.3</v>
      </c>
      <c r="P390">
        <v>1782.26</v>
      </c>
      <c r="Q390">
        <f t="shared" si="37"/>
        <v>1782.26</v>
      </c>
      <c r="R390">
        <f t="shared" si="38"/>
        <v>0</v>
      </c>
    </row>
    <row r="391" spans="1:18" x14ac:dyDescent="0.35">
      <c r="A391">
        <v>10390</v>
      </c>
      <c r="B391" t="s">
        <v>256</v>
      </c>
      <c r="C391" s="1">
        <f t="shared" si="36"/>
        <v>44951</v>
      </c>
      <c r="D391">
        <v>1586</v>
      </c>
      <c r="E391" t="s">
        <v>19</v>
      </c>
      <c r="F391" t="str">
        <f t="shared" si="39"/>
        <v>Electronics</v>
      </c>
      <c r="G391" t="s">
        <v>21</v>
      </c>
      <c r="H391" t="str">
        <f t="shared" si="40"/>
        <v>North</v>
      </c>
      <c r="I391">
        <v>3</v>
      </c>
      <c r="J391">
        <v>331.5</v>
      </c>
      <c r="K391">
        <v>0.18</v>
      </c>
      <c r="L391" t="str">
        <f t="shared" si="41"/>
        <v>Wallet</v>
      </c>
      <c r="M391" t="s">
        <v>14</v>
      </c>
      <c r="N391">
        <v>3</v>
      </c>
      <c r="O391">
        <v>1.7</v>
      </c>
      <c r="P391">
        <v>815.49</v>
      </c>
      <c r="Q391">
        <f t="shared" si="37"/>
        <v>815.49</v>
      </c>
      <c r="R391">
        <f t="shared" si="38"/>
        <v>0</v>
      </c>
    </row>
    <row r="392" spans="1:18" x14ac:dyDescent="0.35">
      <c r="A392">
        <v>10391</v>
      </c>
      <c r="B392" t="s">
        <v>257</v>
      </c>
      <c r="C392" s="1">
        <f t="shared" si="36"/>
        <v>44952</v>
      </c>
      <c r="D392">
        <v>1624</v>
      </c>
      <c r="E392" t="s">
        <v>29</v>
      </c>
      <c r="F392" t="str">
        <f t="shared" si="39"/>
        <v>Home</v>
      </c>
      <c r="G392" t="s">
        <v>21</v>
      </c>
      <c r="H392" t="str">
        <f t="shared" si="40"/>
        <v>North</v>
      </c>
      <c r="I392">
        <v>5</v>
      </c>
      <c r="J392">
        <v>557.45000000000005</v>
      </c>
      <c r="K392">
        <v>0.25</v>
      </c>
      <c r="L392" t="str">
        <f t="shared" si="41"/>
        <v>Card</v>
      </c>
      <c r="M392" t="s">
        <v>16</v>
      </c>
      <c r="N392">
        <v>6</v>
      </c>
      <c r="O392">
        <v>2.8</v>
      </c>
      <c r="P392">
        <v>2090.44</v>
      </c>
      <c r="Q392">
        <f t="shared" si="37"/>
        <v>2090.44</v>
      </c>
      <c r="R392">
        <f t="shared" si="38"/>
        <v>0</v>
      </c>
    </row>
    <row r="393" spans="1:18" x14ac:dyDescent="0.35">
      <c r="A393">
        <v>10392</v>
      </c>
      <c r="B393" t="s">
        <v>258</v>
      </c>
      <c r="C393" s="1">
        <f t="shared" si="36"/>
        <v>44953</v>
      </c>
      <c r="D393">
        <v>1967</v>
      </c>
      <c r="E393" t="s">
        <v>19</v>
      </c>
      <c r="F393" t="str">
        <f t="shared" si="39"/>
        <v>Electronics</v>
      </c>
      <c r="G393" t="s">
        <v>17</v>
      </c>
      <c r="H393" t="str">
        <f t="shared" si="40"/>
        <v>East</v>
      </c>
      <c r="I393">
        <v>7</v>
      </c>
      <c r="J393">
        <v>560.16</v>
      </c>
      <c r="K393">
        <v>0.17</v>
      </c>
      <c r="L393" t="str">
        <f t="shared" si="41"/>
        <v>Cod</v>
      </c>
      <c r="M393" t="s">
        <v>18</v>
      </c>
      <c r="N393">
        <v>9</v>
      </c>
      <c r="O393">
        <v>2.8</v>
      </c>
      <c r="P393">
        <v>3254.53</v>
      </c>
      <c r="Q393">
        <f t="shared" si="37"/>
        <v>3254.53</v>
      </c>
      <c r="R393">
        <f t="shared" si="38"/>
        <v>0</v>
      </c>
    </row>
    <row r="394" spans="1:18" x14ac:dyDescent="0.35">
      <c r="A394">
        <v>10393</v>
      </c>
      <c r="B394" t="s">
        <v>259</v>
      </c>
      <c r="C394" s="1">
        <f t="shared" si="36"/>
        <v>44954</v>
      </c>
      <c r="D394">
        <v>1419</v>
      </c>
      <c r="E394" t="s">
        <v>19</v>
      </c>
      <c r="F394" t="str">
        <f t="shared" si="39"/>
        <v>Electronics</v>
      </c>
      <c r="G394" t="s">
        <v>21</v>
      </c>
      <c r="H394" t="str">
        <f t="shared" si="40"/>
        <v>North</v>
      </c>
      <c r="I394">
        <v>4</v>
      </c>
      <c r="J394">
        <v>314.94</v>
      </c>
      <c r="K394">
        <v>0.1</v>
      </c>
      <c r="L394" t="str">
        <f t="shared" si="41"/>
        <v>Cod</v>
      </c>
      <c r="M394" t="s">
        <v>18</v>
      </c>
      <c r="N394">
        <v>7</v>
      </c>
      <c r="O394">
        <v>4.5</v>
      </c>
      <c r="P394">
        <v>1133.78</v>
      </c>
      <c r="Q394">
        <f t="shared" si="37"/>
        <v>1133.78</v>
      </c>
      <c r="R394">
        <f t="shared" si="38"/>
        <v>0</v>
      </c>
    </row>
    <row r="395" spans="1:18" x14ac:dyDescent="0.35">
      <c r="A395">
        <v>10394</v>
      </c>
      <c r="B395" t="s">
        <v>260</v>
      </c>
      <c r="C395" s="1">
        <f t="shared" si="36"/>
        <v>44955</v>
      </c>
      <c r="D395">
        <v>1421</v>
      </c>
      <c r="E395" t="s">
        <v>19</v>
      </c>
      <c r="F395" t="str">
        <f t="shared" si="39"/>
        <v>Electronics</v>
      </c>
      <c r="G395" t="s">
        <v>13</v>
      </c>
      <c r="H395" t="str">
        <f t="shared" si="40"/>
        <v>South</v>
      </c>
      <c r="I395">
        <v>6</v>
      </c>
      <c r="J395">
        <v>193.87</v>
      </c>
      <c r="K395">
        <v>0.13</v>
      </c>
      <c r="L395" t="str">
        <f t="shared" si="41"/>
        <v>Card</v>
      </c>
      <c r="M395" t="s">
        <v>16</v>
      </c>
      <c r="N395">
        <v>4</v>
      </c>
      <c r="O395">
        <v>4.9000000000000004</v>
      </c>
      <c r="P395">
        <v>1012</v>
      </c>
      <c r="Q395">
        <f t="shared" si="37"/>
        <v>1012</v>
      </c>
      <c r="R395">
        <f t="shared" si="38"/>
        <v>0</v>
      </c>
    </row>
    <row r="396" spans="1:18" x14ac:dyDescent="0.35">
      <c r="A396">
        <v>10395</v>
      </c>
      <c r="B396" t="s">
        <v>261</v>
      </c>
      <c r="C396" s="1">
        <f t="shared" si="36"/>
        <v>44956</v>
      </c>
      <c r="D396">
        <v>1103</v>
      </c>
      <c r="E396" t="s">
        <v>12</v>
      </c>
      <c r="F396" t="str">
        <f t="shared" si="39"/>
        <v>Beauty</v>
      </c>
      <c r="G396" t="s">
        <v>20</v>
      </c>
      <c r="H396" t="str">
        <f t="shared" si="40"/>
        <v>West</v>
      </c>
      <c r="I396">
        <v>2</v>
      </c>
      <c r="J396">
        <v>283.86</v>
      </c>
      <c r="K396">
        <v>0.3</v>
      </c>
      <c r="L396" t="str">
        <f t="shared" si="41"/>
        <v>Cod</v>
      </c>
      <c r="M396" t="s">
        <v>18</v>
      </c>
      <c r="N396">
        <v>3</v>
      </c>
      <c r="O396">
        <v>2</v>
      </c>
      <c r="P396">
        <v>397.4</v>
      </c>
      <c r="Q396">
        <f t="shared" si="37"/>
        <v>397.4</v>
      </c>
      <c r="R396">
        <f t="shared" si="38"/>
        <v>0</v>
      </c>
    </row>
    <row r="397" spans="1:18" x14ac:dyDescent="0.35">
      <c r="A397">
        <v>10396</v>
      </c>
      <c r="B397" t="s">
        <v>262</v>
      </c>
      <c r="C397" s="1">
        <f t="shared" si="36"/>
        <v>44957</v>
      </c>
      <c r="D397">
        <v>1851</v>
      </c>
      <c r="E397" t="s">
        <v>12</v>
      </c>
      <c r="F397" t="str">
        <f t="shared" si="39"/>
        <v>Beauty</v>
      </c>
      <c r="G397" t="s">
        <v>13</v>
      </c>
      <c r="H397" t="str">
        <f t="shared" si="40"/>
        <v>South</v>
      </c>
      <c r="I397">
        <v>5</v>
      </c>
      <c r="J397">
        <v>124.14</v>
      </c>
      <c r="K397">
        <v>0.16</v>
      </c>
      <c r="L397" t="str">
        <f t="shared" si="41"/>
        <v>Card</v>
      </c>
      <c r="M397" t="s">
        <v>16</v>
      </c>
      <c r="N397">
        <v>2</v>
      </c>
      <c r="O397">
        <v>1.3</v>
      </c>
      <c r="P397">
        <v>521.39</v>
      </c>
      <c r="Q397">
        <f t="shared" si="37"/>
        <v>521.39</v>
      </c>
      <c r="R397">
        <f t="shared" si="38"/>
        <v>0</v>
      </c>
    </row>
    <row r="398" spans="1:18" x14ac:dyDescent="0.35">
      <c r="A398">
        <v>10397</v>
      </c>
      <c r="B398" s="1">
        <v>44928</v>
      </c>
      <c r="C398" s="1">
        <f t="shared" si="36"/>
        <v>44958</v>
      </c>
      <c r="D398">
        <v>1253</v>
      </c>
      <c r="E398" t="s">
        <v>29</v>
      </c>
      <c r="F398" t="str">
        <f t="shared" si="39"/>
        <v>Home</v>
      </c>
      <c r="G398" t="s">
        <v>17</v>
      </c>
      <c r="H398" t="str">
        <f t="shared" si="40"/>
        <v>East</v>
      </c>
      <c r="I398">
        <v>3</v>
      </c>
      <c r="J398">
        <v>387.26</v>
      </c>
      <c r="K398">
        <v>7.0000000000000007E-2</v>
      </c>
      <c r="L398" t="str">
        <f t="shared" si="41"/>
        <v>Card</v>
      </c>
      <c r="M398" t="s">
        <v>16</v>
      </c>
      <c r="N398">
        <v>10</v>
      </c>
      <c r="O398">
        <v>3.6</v>
      </c>
      <c r="P398">
        <v>1080.46</v>
      </c>
      <c r="Q398">
        <f t="shared" si="37"/>
        <v>1080.46</v>
      </c>
      <c r="R398">
        <f t="shared" si="38"/>
        <v>0</v>
      </c>
    </row>
    <row r="399" spans="1:18" x14ac:dyDescent="0.35">
      <c r="A399">
        <v>10398</v>
      </c>
      <c r="B399" s="1">
        <v>44959</v>
      </c>
      <c r="C399" s="1">
        <f t="shared" si="36"/>
        <v>44959</v>
      </c>
      <c r="D399">
        <v>1226</v>
      </c>
      <c r="E399" t="s">
        <v>29</v>
      </c>
      <c r="F399" t="str">
        <f t="shared" si="39"/>
        <v>Home</v>
      </c>
      <c r="G399" t="s">
        <v>17</v>
      </c>
      <c r="H399" t="str">
        <f t="shared" si="40"/>
        <v>East</v>
      </c>
      <c r="I399">
        <v>7</v>
      </c>
      <c r="J399">
        <v>307.55</v>
      </c>
      <c r="K399">
        <v>0.33</v>
      </c>
      <c r="L399" t="str">
        <f t="shared" si="41"/>
        <v>Card</v>
      </c>
      <c r="M399" t="s">
        <v>16</v>
      </c>
      <c r="N399">
        <v>10</v>
      </c>
      <c r="O399">
        <v>3</v>
      </c>
      <c r="P399">
        <v>1442.41</v>
      </c>
      <c r="Q399">
        <f t="shared" si="37"/>
        <v>1442.41</v>
      </c>
      <c r="R399">
        <f t="shared" si="38"/>
        <v>0</v>
      </c>
    </row>
    <row r="400" spans="1:18" x14ac:dyDescent="0.35">
      <c r="A400">
        <v>10399</v>
      </c>
      <c r="B400" s="1">
        <v>44987</v>
      </c>
      <c r="C400" s="1">
        <f t="shared" si="36"/>
        <v>44960</v>
      </c>
      <c r="D400">
        <v>1111</v>
      </c>
      <c r="E400" t="s">
        <v>15</v>
      </c>
      <c r="F400" t="str">
        <f t="shared" si="39"/>
        <v>Clothing</v>
      </c>
      <c r="G400" t="s">
        <v>21</v>
      </c>
      <c r="H400" t="str">
        <f t="shared" si="40"/>
        <v>North</v>
      </c>
      <c r="I400">
        <v>4</v>
      </c>
      <c r="J400">
        <v>75.430000000000007</v>
      </c>
      <c r="K400">
        <v>0.28000000000000003</v>
      </c>
      <c r="L400" t="str">
        <f t="shared" si="41"/>
        <v>Wallet</v>
      </c>
      <c r="M400" t="s">
        <v>14</v>
      </c>
      <c r="N400">
        <v>1</v>
      </c>
      <c r="O400">
        <v>3.3</v>
      </c>
      <c r="P400">
        <v>217.24</v>
      </c>
      <c r="Q400">
        <f t="shared" si="37"/>
        <v>217.24</v>
      </c>
      <c r="R400">
        <f t="shared" si="38"/>
        <v>0</v>
      </c>
    </row>
    <row r="401" spans="1:18" x14ac:dyDescent="0.35">
      <c r="A401">
        <v>10400</v>
      </c>
      <c r="B401" s="1">
        <v>45018</v>
      </c>
      <c r="C401" s="1">
        <f t="shared" si="36"/>
        <v>44961</v>
      </c>
      <c r="D401">
        <v>1509</v>
      </c>
      <c r="E401" t="s">
        <v>12</v>
      </c>
      <c r="F401" t="str">
        <f t="shared" si="39"/>
        <v>Beauty</v>
      </c>
      <c r="G401" t="s">
        <v>21</v>
      </c>
      <c r="H401" t="str">
        <f t="shared" si="40"/>
        <v>North</v>
      </c>
      <c r="I401">
        <v>1</v>
      </c>
      <c r="J401">
        <v>130.62</v>
      </c>
      <c r="K401">
        <v>0.02</v>
      </c>
      <c r="L401" t="str">
        <f t="shared" si="41"/>
        <v>Cod</v>
      </c>
      <c r="M401" t="s">
        <v>18</v>
      </c>
      <c r="N401">
        <v>11</v>
      </c>
      <c r="O401">
        <v>1.2</v>
      </c>
      <c r="P401">
        <v>128.01</v>
      </c>
      <c r="Q401">
        <f t="shared" si="37"/>
        <v>128.01</v>
      </c>
      <c r="R401">
        <f t="shared" si="38"/>
        <v>0</v>
      </c>
    </row>
    <row r="402" spans="1:18" x14ac:dyDescent="0.35">
      <c r="A402">
        <v>10401</v>
      </c>
      <c r="B402" s="1">
        <v>45048</v>
      </c>
      <c r="C402" s="1">
        <f t="shared" si="36"/>
        <v>44962</v>
      </c>
      <c r="D402">
        <v>1472</v>
      </c>
      <c r="E402" t="s">
        <v>15</v>
      </c>
      <c r="F402" t="str">
        <f t="shared" si="39"/>
        <v>Clothing</v>
      </c>
      <c r="G402" t="s">
        <v>17</v>
      </c>
      <c r="H402" t="str">
        <f t="shared" si="40"/>
        <v>East</v>
      </c>
      <c r="I402">
        <v>4</v>
      </c>
      <c r="J402">
        <v>295.58</v>
      </c>
      <c r="K402">
        <v>0.35</v>
      </c>
      <c r="L402" t="str">
        <f t="shared" si="41"/>
        <v>Cod</v>
      </c>
      <c r="M402" t="s">
        <v>18</v>
      </c>
      <c r="N402">
        <v>10</v>
      </c>
      <c r="O402">
        <v>4.0999999999999996</v>
      </c>
      <c r="P402">
        <v>768.51</v>
      </c>
      <c r="Q402">
        <f t="shared" si="37"/>
        <v>768.51</v>
      </c>
      <c r="R402">
        <f t="shared" si="38"/>
        <v>0</v>
      </c>
    </row>
    <row r="403" spans="1:18" x14ac:dyDescent="0.35">
      <c r="A403">
        <v>10402</v>
      </c>
      <c r="B403" s="1">
        <v>45079</v>
      </c>
      <c r="C403" s="1">
        <f t="shared" si="36"/>
        <v>44963</v>
      </c>
      <c r="D403">
        <v>1098</v>
      </c>
      <c r="E403" t="s">
        <v>15</v>
      </c>
      <c r="F403" t="str">
        <f t="shared" si="39"/>
        <v>Clothing</v>
      </c>
      <c r="G403" t="s">
        <v>17</v>
      </c>
      <c r="H403" t="str">
        <f t="shared" si="40"/>
        <v>East</v>
      </c>
      <c r="I403">
        <v>4</v>
      </c>
      <c r="J403">
        <v>534.24</v>
      </c>
      <c r="K403">
        <v>0.24</v>
      </c>
      <c r="L403" t="str">
        <f t="shared" si="41"/>
        <v>Cod</v>
      </c>
      <c r="M403" t="s">
        <v>18</v>
      </c>
      <c r="N403">
        <v>11</v>
      </c>
      <c r="O403">
        <v>1.9</v>
      </c>
      <c r="P403">
        <v>1624.09</v>
      </c>
      <c r="Q403">
        <f t="shared" si="37"/>
        <v>1624.09</v>
      </c>
      <c r="R403">
        <f t="shared" si="38"/>
        <v>0</v>
      </c>
    </row>
    <row r="404" spans="1:18" x14ac:dyDescent="0.35">
      <c r="A404">
        <v>10403</v>
      </c>
      <c r="B404" s="1">
        <v>45109</v>
      </c>
      <c r="C404" s="1">
        <f t="shared" si="36"/>
        <v>44964</v>
      </c>
      <c r="D404">
        <v>1152</v>
      </c>
      <c r="E404" t="s">
        <v>19</v>
      </c>
      <c r="F404" t="str">
        <f t="shared" si="39"/>
        <v>Electronics</v>
      </c>
      <c r="G404" t="s">
        <v>13</v>
      </c>
      <c r="H404" t="str">
        <f t="shared" si="40"/>
        <v>South</v>
      </c>
      <c r="I404">
        <v>6</v>
      </c>
      <c r="J404">
        <v>346.34</v>
      </c>
      <c r="K404">
        <v>0.06</v>
      </c>
      <c r="L404" t="str">
        <f t="shared" si="41"/>
        <v>Card</v>
      </c>
      <c r="M404" t="s">
        <v>16</v>
      </c>
      <c r="N404">
        <v>1</v>
      </c>
      <c r="O404">
        <v>2.2999999999999998</v>
      </c>
      <c r="P404">
        <v>1953.36</v>
      </c>
      <c r="Q404">
        <f t="shared" si="37"/>
        <v>1953.36</v>
      </c>
      <c r="R404">
        <f t="shared" si="38"/>
        <v>0</v>
      </c>
    </row>
    <row r="405" spans="1:18" x14ac:dyDescent="0.35">
      <c r="A405">
        <v>10404</v>
      </c>
      <c r="B405" s="1">
        <v>45140</v>
      </c>
      <c r="C405" s="1">
        <f t="shared" si="36"/>
        <v>44965</v>
      </c>
      <c r="D405">
        <v>1860</v>
      </c>
      <c r="E405" t="s">
        <v>29</v>
      </c>
      <c r="F405" t="str">
        <f t="shared" si="39"/>
        <v>Home</v>
      </c>
      <c r="G405" t="s">
        <v>13</v>
      </c>
      <c r="H405" t="str">
        <f t="shared" si="40"/>
        <v>South</v>
      </c>
      <c r="I405">
        <v>6</v>
      </c>
      <c r="J405">
        <v>413.7</v>
      </c>
      <c r="K405">
        <v>0.08</v>
      </c>
      <c r="L405" t="str">
        <f t="shared" si="41"/>
        <v>Cod</v>
      </c>
      <c r="M405" t="s">
        <v>18</v>
      </c>
      <c r="N405">
        <v>4</v>
      </c>
      <c r="O405">
        <v>1.9</v>
      </c>
      <c r="P405">
        <v>2283.62</v>
      </c>
      <c r="Q405">
        <f t="shared" si="37"/>
        <v>2283.62</v>
      </c>
      <c r="R405">
        <f t="shared" si="38"/>
        <v>0</v>
      </c>
    </row>
    <row r="406" spans="1:18" x14ac:dyDescent="0.35">
      <c r="A406">
        <v>10405</v>
      </c>
      <c r="B406" s="1">
        <v>45171</v>
      </c>
      <c r="C406" s="1">
        <f t="shared" si="36"/>
        <v>44966</v>
      </c>
      <c r="D406">
        <v>1913</v>
      </c>
      <c r="E406" t="s">
        <v>29</v>
      </c>
      <c r="F406" t="str">
        <f t="shared" si="39"/>
        <v>Home</v>
      </c>
      <c r="G406" t="s">
        <v>21</v>
      </c>
      <c r="H406" t="str">
        <f t="shared" si="40"/>
        <v>North</v>
      </c>
      <c r="I406">
        <v>7</v>
      </c>
      <c r="J406">
        <v>213.33</v>
      </c>
      <c r="K406">
        <v>0.24</v>
      </c>
      <c r="L406" t="str">
        <f t="shared" si="41"/>
        <v>Card</v>
      </c>
      <c r="M406" t="s">
        <v>16</v>
      </c>
      <c r="N406">
        <v>4</v>
      </c>
      <c r="O406">
        <v>4.8</v>
      </c>
      <c r="P406">
        <v>1134.92</v>
      </c>
      <c r="Q406">
        <f t="shared" si="37"/>
        <v>1134.92</v>
      </c>
      <c r="R406">
        <f t="shared" si="38"/>
        <v>0</v>
      </c>
    </row>
    <row r="407" spans="1:18" x14ac:dyDescent="0.35">
      <c r="A407">
        <v>10406</v>
      </c>
      <c r="B407" s="1">
        <v>45201</v>
      </c>
      <c r="C407" s="1">
        <f t="shared" si="36"/>
        <v>44967</v>
      </c>
      <c r="D407">
        <v>1895</v>
      </c>
      <c r="E407" t="s">
        <v>15</v>
      </c>
      <c r="F407" t="str">
        <f t="shared" si="39"/>
        <v>Clothing</v>
      </c>
      <c r="G407" t="s">
        <v>13</v>
      </c>
      <c r="H407" t="str">
        <f t="shared" si="40"/>
        <v>South</v>
      </c>
      <c r="I407">
        <v>7</v>
      </c>
      <c r="J407">
        <v>349.28</v>
      </c>
      <c r="K407">
        <v>0.27</v>
      </c>
      <c r="L407" t="str">
        <f t="shared" si="41"/>
        <v>Card</v>
      </c>
      <c r="M407" t="s">
        <v>16</v>
      </c>
      <c r="N407">
        <v>9</v>
      </c>
      <c r="O407">
        <v>1.7</v>
      </c>
      <c r="P407">
        <v>1784.82</v>
      </c>
      <c r="Q407">
        <f t="shared" si="37"/>
        <v>1784.82</v>
      </c>
      <c r="R407">
        <f t="shared" si="38"/>
        <v>0</v>
      </c>
    </row>
    <row r="408" spans="1:18" x14ac:dyDescent="0.35">
      <c r="A408">
        <v>10407</v>
      </c>
      <c r="B408" s="1">
        <v>45232</v>
      </c>
      <c r="C408" s="1">
        <f t="shared" si="36"/>
        <v>44968</v>
      </c>
      <c r="D408">
        <v>1877</v>
      </c>
      <c r="E408" t="s">
        <v>19</v>
      </c>
      <c r="F408" t="str">
        <f t="shared" si="39"/>
        <v>Electronics</v>
      </c>
      <c r="G408" t="s">
        <v>21</v>
      </c>
      <c r="H408" t="str">
        <f t="shared" si="40"/>
        <v>North</v>
      </c>
      <c r="I408">
        <v>3</v>
      </c>
      <c r="J408">
        <v>276.72000000000003</v>
      </c>
      <c r="K408">
        <v>0.08</v>
      </c>
      <c r="L408" t="str">
        <f t="shared" si="41"/>
        <v>Cod</v>
      </c>
      <c r="M408" t="s">
        <v>18</v>
      </c>
      <c r="N408">
        <v>10</v>
      </c>
      <c r="O408">
        <v>3.9</v>
      </c>
      <c r="P408">
        <v>763.75</v>
      </c>
      <c r="Q408">
        <f t="shared" si="37"/>
        <v>763.75</v>
      </c>
      <c r="R408">
        <f t="shared" si="38"/>
        <v>0</v>
      </c>
    </row>
    <row r="409" spans="1:18" x14ac:dyDescent="0.35">
      <c r="A409">
        <v>10408</v>
      </c>
      <c r="B409" s="1">
        <v>45262</v>
      </c>
      <c r="C409" s="1">
        <f t="shared" si="36"/>
        <v>44969</v>
      </c>
      <c r="D409">
        <v>1337</v>
      </c>
      <c r="E409" t="s">
        <v>29</v>
      </c>
      <c r="F409" t="str">
        <f t="shared" si="39"/>
        <v>Home</v>
      </c>
      <c r="G409" t="s">
        <v>21</v>
      </c>
      <c r="H409" t="str">
        <f t="shared" si="40"/>
        <v>North</v>
      </c>
      <c r="I409">
        <v>7</v>
      </c>
      <c r="J409">
        <v>400.59</v>
      </c>
      <c r="K409">
        <v>0.09</v>
      </c>
      <c r="L409" t="str">
        <f t="shared" si="41"/>
        <v>Card</v>
      </c>
      <c r="M409" t="s">
        <v>16</v>
      </c>
      <c r="N409">
        <v>1</v>
      </c>
      <c r="O409">
        <v>2</v>
      </c>
      <c r="P409">
        <v>2551.7600000000002</v>
      </c>
      <c r="Q409">
        <f t="shared" si="37"/>
        <v>2551.7600000000002</v>
      </c>
      <c r="R409">
        <f t="shared" si="38"/>
        <v>0</v>
      </c>
    </row>
    <row r="410" spans="1:18" x14ac:dyDescent="0.35">
      <c r="A410">
        <v>10409</v>
      </c>
      <c r="B410" t="s">
        <v>263</v>
      </c>
      <c r="C410" s="1">
        <f t="shared" si="36"/>
        <v>44970</v>
      </c>
      <c r="D410">
        <v>1705</v>
      </c>
      <c r="E410" t="s">
        <v>19</v>
      </c>
      <c r="F410" t="str">
        <f t="shared" si="39"/>
        <v>Electronics</v>
      </c>
      <c r="G410" t="s">
        <v>20</v>
      </c>
      <c r="H410" t="str">
        <f t="shared" si="40"/>
        <v>West</v>
      </c>
      <c r="I410">
        <v>3</v>
      </c>
      <c r="J410">
        <v>44.59</v>
      </c>
      <c r="K410">
        <v>0.11</v>
      </c>
      <c r="L410" t="str">
        <f t="shared" si="41"/>
        <v>Card</v>
      </c>
      <c r="M410" t="s">
        <v>16</v>
      </c>
      <c r="N410">
        <v>11</v>
      </c>
      <c r="O410">
        <v>2.7</v>
      </c>
      <c r="P410">
        <v>119.06</v>
      </c>
      <c r="Q410">
        <f t="shared" si="37"/>
        <v>119.06</v>
      </c>
      <c r="R410">
        <f t="shared" si="38"/>
        <v>0</v>
      </c>
    </row>
    <row r="411" spans="1:18" x14ac:dyDescent="0.35">
      <c r="A411">
        <v>10410</v>
      </c>
      <c r="B411" t="s">
        <v>264</v>
      </c>
      <c r="C411" s="1">
        <f t="shared" si="36"/>
        <v>44971</v>
      </c>
      <c r="D411">
        <v>1821</v>
      </c>
      <c r="E411" t="s">
        <v>29</v>
      </c>
      <c r="F411" t="str">
        <f t="shared" si="39"/>
        <v>Home</v>
      </c>
      <c r="G411" t="s">
        <v>21</v>
      </c>
      <c r="H411" t="str">
        <f t="shared" si="40"/>
        <v>North</v>
      </c>
      <c r="I411">
        <v>6</v>
      </c>
      <c r="J411">
        <v>303.58</v>
      </c>
      <c r="K411">
        <v>0.21</v>
      </c>
      <c r="L411" t="str">
        <f t="shared" si="41"/>
        <v>Wallet</v>
      </c>
      <c r="M411" t="s">
        <v>14</v>
      </c>
      <c r="N411">
        <v>4</v>
      </c>
      <c r="O411">
        <v>5</v>
      </c>
      <c r="P411">
        <v>1438.97</v>
      </c>
      <c r="Q411">
        <f t="shared" si="37"/>
        <v>1438.97</v>
      </c>
      <c r="R411">
        <f t="shared" si="38"/>
        <v>0</v>
      </c>
    </row>
    <row r="412" spans="1:18" x14ac:dyDescent="0.35">
      <c r="A412">
        <v>10411</v>
      </c>
      <c r="B412" t="s">
        <v>265</v>
      </c>
      <c r="C412" s="1">
        <f t="shared" si="36"/>
        <v>44972</v>
      </c>
      <c r="D412">
        <v>1162</v>
      </c>
      <c r="E412" t="s">
        <v>12</v>
      </c>
      <c r="F412" t="str">
        <f t="shared" si="39"/>
        <v>Beauty</v>
      </c>
      <c r="G412" t="s">
        <v>13</v>
      </c>
      <c r="H412" t="str">
        <f t="shared" si="40"/>
        <v>South</v>
      </c>
      <c r="I412">
        <v>6</v>
      </c>
      <c r="J412">
        <v>188.16</v>
      </c>
      <c r="K412">
        <v>0.06</v>
      </c>
      <c r="L412" t="str">
        <f t="shared" si="41"/>
        <v>Cod</v>
      </c>
      <c r="M412" t="s">
        <v>18</v>
      </c>
      <c r="N412">
        <v>3</v>
      </c>
      <c r="O412">
        <v>1.4</v>
      </c>
      <c r="P412">
        <v>1061.22</v>
      </c>
      <c r="Q412">
        <f t="shared" si="37"/>
        <v>1061.22</v>
      </c>
      <c r="R412">
        <f t="shared" si="38"/>
        <v>0</v>
      </c>
    </row>
    <row r="413" spans="1:18" x14ac:dyDescent="0.35">
      <c r="A413">
        <v>10412</v>
      </c>
      <c r="B413" t="s">
        <v>266</v>
      </c>
      <c r="C413" s="1">
        <f t="shared" si="36"/>
        <v>44973</v>
      </c>
      <c r="D413">
        <v>1719</v>
      </c>
      <c r="E413" t="s">
        <v>15</v>
      </c>
      <c r="F413" t="str">
        <f t="shared" si="39"/>
        <v>Clothing</v>
      </c>
      <c r="G413" t="s">
        <v>17</v>
      </c>
      <c r="H413" t="str">
        <f t="shared" si="40"/>
        <v>East</v>
      </c>
      <c r="I413">
        <v>2</v>
      </c>
      <c r="J413">
        <v>205.82</v>
      </c>
      <c r="K413">
        <v>0.04</v>
      </c>
      <c r="L413" t="str">
        <f t="shared" si="41"/>
        <v>Cod</v>
      </c>
      <c r="M413" t="s">
        <v>18</v>
      </c>
      <c r="N413">
        <v>9</v>
      </c>
      <c r="O413">
        <v>4.5</v>
      </c>
      <c r="P413">
        <v>395.17</v>
      </c>
      <c r="Q413">
        <f t="shared" si="37"/>
        <v>395.17</v>
      </c>
      <c r="R413">
        <f t="shared" si="38"/>
        <v>0</v>
      </c>
    </row>
    <row r="414" spans="1:18" x14ac:dyDescent="0.35">
      <c r="A414">
        <v>10413</v>
      </c>
      <c r="B414" t="s">
        <v>267</v>
      </c>
      <c r="C414" s="1">
        <f t="shared" si="36"/>
        <v>44974</v>
      </c>
      <c r="D414">
        <v>1956</v>
      </c>
      <c r="E414" t="s">
        <v>19</v>
      </c>
      <c r="F414" t="str">
        <f t="shared" si="39"/>
        <v>Electronics</v>
      </c>
      <c r="G414" t="s">
        <v>17</v>
      </c>
      <c r="H414" t="str">
        <f t="shared" si="40"/>
        <v>East</v>
      </c>
      <c r="I414">
        <v>2</v>
      </c>
      <c r="J414">
        <v>577.14</v>
      </c>
      <c r="K414">
        <v>0.24</v>
      </c>
      <c r="L414" t="str">
        <f t="shared" si="41"/>
        <v>Card</v>
      </c>
      <c r="M414" t="s">
        <v>16</v>
      </c>
      <c r="N414">
        <v>5</v>
      </c>
      <c r="O414">
        <v>4.8</v>
      </c>
      <c r="P414">
        <v>877.25</v>
      </c>
      <c r="Q414">
        <f t="shared" si="37"/>
        <v>877.25</v>
      </c>
      <c r="R414">
        <f t="shared" si="38"/>
        <v>0</v>
      </c>
    </row>
    <row r="415" spans="1:18" x14ac:dyDescent="0.35">
      <c r="A415">
        <v>10414</v>
      </c>
      <c r="B415" t="s">
        <v>268</v>
      </c>
      <c r="C415" s="1">
        <f t="shared" si="36"/>
        <v>44975</v>
      </c>
      <c r="D415">
        <v>1680</v>
      </c>
      <c r="E415" t="s">
        <v>29</v>
      </c>
      <c r="F415" t="str">
        <f t="shared" si="39"/>
        <v>Home</v>
      </c>
      <c r="G415" t="s">
        <v>13</v>
      </c>
      <c r="H415" t="str">
        <f t="shared" si="40"/>
        <v>South</v>
      </c>
      <c r="I415">
        <v>5</v>
      </c>
      <c r="J415">
        <v>121.88</v>
      </c>
      <c r="K415">
        <v>0.27</v>
      </c>
      <c r="L415" t="str">
        <f t="shared" si="41"/>
        <v>Card</v>
      </c>
      <c r="M415" t="s">
        <v>16</v>
      </c>
      <c r="N415">
        <v>9</v>
      </c>
      <c r="O415">
        <v>3.8</v>
      </c>
      <c r="P415">
        <v>444.86</v>
      </c>
      <c r="Q415">
        <f t="shared" si="37"/>
        <v>444.86</v>
      </c>
      <c r="R415">
        <f t="shared" si="38"/>
        <v>0</v>
      </c>
    </row>
    <row r="416" spans="1:18" x14ac:dyDescent="0.35">
      <c r="A416">
        <v>10415</v>
      </c>
      <c r="B416" t="s">
        <v>269</v>
      </c>
      <c r="C416" s="1">
        <f t="shared" si="36"/>
        <v>44976</v>
      </c>
      <c r="D416">
        <v>1995</v>
      </c>
      <c r="E416" t="s">
        <v>29</v>
      </c>
      <c r="F416" t="str">
        <f t="shared" si="39"/>
        <v>Home</v>
      </c>
      <c r="G416" t="s">
        <v>17</v>
      </c>
      <c r="H416" t="str">
        <f t="shared" si="40"/>
        <v>East</v>
      </c>
      <c r="I416">
        <v>6</v>
      </c>
      <c r="J416">
        <v>197.08</v>
      </c>
      <c r="K416">
        <v>0.18</v>
      </c>
      <c r="L416" t="str">
        <f t="shared" si="41"/>
        <v>Cod</v>
      </c>
      <c r="M416" t="s">
        <v>18</v>
      </c>
      <c r="N416">
        <v>10</v>
      </c>
      <c r="O416">
        <v>1</v>
      </c>
      <c r="P416">
        <v>969.63</v>
      </c>
      <c r="Q416">
        <f t="shared" si="37"/>
        <v>969.63</v>
      </c>
      <c r="R416">
        <f t="shared" si="38"/>
        <v>0</v>
      </c>
    </row>
    <row r="417" spans="1:18" x14ac:dyDescent="0.35">
      <c r="A417">
        <v>10416</v>
      </c>
      <c r="B417" t="s">
        <v>270</v>
      </c>
      <c r="C417" s="1">
        <f t="shared" si="36"/>
        <v>44977</v>
      </c>
      <c r="D417">
        <v>1160</v>
      </c>
      <c r="E417" t="s">
        <v>15</v>
      </c>
      <c r="F417" t="str">
        <f t="shared" si="39"/>
        <v>Clothing</v>
      </c>
      <c r="G417" t="s">
        <v>21</v>
      </c>
      <c r="H417" t="str">
        <f t="shared" si="40"/>
        <v>North</v>
      </c>
      <c r="I417">
        <v>1</v>
      </c>
      <c r="J417">
        <v>313.29000000000002</v>
      </c>
      <c r="K417">
        <v>0.13</v>
      </c>
      <c r="L417" t="str">
        <f t="shared" si="41"/>
        <v>Cod</v>
      </c>
      <c r="M417" t="s">
        <v>18</v>
      </c>
      <c r="N417">
        <v>6</v>
      </c>
      <c r="O417">
        <v>4.3</v>
      </c>
      <c r="P417">
        <v>272.56</v>
      </c>
      <c r="Q417">
        <f t="shared" si="37"/>
        <v>272.56</v>
      </c>
      <c r="R417">
        <f t="shared" si="38"/>
        <v>0</v>
      </c>
    </row>
    <row r="418" spans="1:18" x14ac:dyDescent="0.35">
      <c r="A418">
        <v>10417</v>
      </c>
      <c r="B418" t="s">
        <v>271</v>
      </c>
      <c r="C418" s="1">
        <f t="shared" si="36"/>
        <v>44978</v>
      </c>
      <c r="D418">
        <v>1579</v>
      </c>
      <c r="E418" t="s">
        <v>12</v>
      </c>
      <c r="F418" t="str">
        <f t="shared" si="39"/>
        <v>Beauty</v>
      </c>
      <c r="G418" t="s">
        <v>17</v>
      </c>
      <c r="H418" t="str">
        <f t="shared" si="40"/>
        <v>East</v>
      </c>
      <c r="I418">
        <v>2</v>
      </c>
      <c r="J418">
        <v>519.87</v>
      </c>
      <c r="K418">
        <v>0.15</v>
      </c>
      <c r="L418" t="str">
        <f t="shared" si="41"/>
        <v>Cod</v>
      </c>
      <c r="M418" t="s">
        <v>18</v>
      </c>
      <c r="N418">
        <v>11</v>
      </c>
      <c r="O418">
        <v>4.5</v>
      </c>
      <c r="P418">
        <v>883.78</v>
      </c>
      <c r="Q418">
        <f t="shared" si="37"/>
        <v>883.78</v>
      </c>
      <c r="R418">
        <f t="shared" si="38"/>
        <v>0</v>
      </c>
    </row>
    <row r="419" spans="1:18" x14ac:dyDescent="0.35">
      <c r="A419">
        <v>10418</v>
      </c>
      <c r="B419" t="s">
        <v>272</v>
      </c>
      <c r="C419" s="1">
        <f t="shared" si="36"/>
        <v>44979</v>
      </c>
      <c r="D419">
        <v>1800</v>
      </c>
      <c r="E419" t="s">
        <v>19</v>
      </c>
      <c r="F419" t="str">
        <f t="shared" si="39"/>
        <v>Electronics</v>
      </c>
      <c r="G419" t="s">
        <v>13</v>
      </c>
      <c r="H419" t="str">
        <f t="shared" si="40"/>
        <v>South</v>
      </c>
      <c r="I419">
        <v>3</v>
      </c>
      <c r="J419">
        <v>258.75</v>
      </c>
      <c r="K419">
        <v>0.14000000000000001</v>
      </c>
      <c r="L419" t="str">
        <f t="shared" si="41"/>
        <v>Wallet</v>
      </c>
      <c r="M419" t="s">
        <v>14</v>
      </c>
      <c r="N419">
        <v>9</v>
      </c>
      <c r="O419">
        <v>4.9000000000000004</v>
      </c>
      <c r="P419">
        <v>667.58</v>
      </c>
      <c r="Q419">
        <f t="shared" si="37"/>
        <v>667.58</v>
      </c>
      <c r="R419">
        <f t="shared" si="38"/>
        <v>0</v>
      </c>
    </row>
    <row r="420" spans="1:18" x14ac:dyDescent="0.35">
      <c r="A420">
        <v>10419</v>
      </c>
      <c r="B420" t="s">
        <v>273</v>
      </c>
      <c r="C420" s="1">
        <f t="shared" si="36"/>
        <v>44980</v>
      </c>
      <c r="D420">
        <v>1397</v>
      </c>
      <c r="E420" t="s">
        <v>15</v>
      </c>
      <c r="F420" t="str">
        <f t="shared" si="39"/>
        <v>Clothing</v>
      </c>
      <c r="G420" t="s">
        <v>17</v>
      </c>
      <c r="H420" t="str">
        <f t="shared" si="40"/>
        <v>East</v>
      </c>
      <c r="I420">
        <v>4</v>
      </c>
      <c r="J420">
        <v>450.16</v>
      </c>
      <c r="K420">
        <v>0.34</v>
      </c>
      <c r="L420" t="str">
        <f t="shared" si="41"/>
        <v>Wallet</v>
      </c>
      <c r="M420" t="s">
        <v>14</v>
      </c>
      <c r="N420">
        <v>1</v>
      </c>
      <c r="O420">
        <v>4.4000000000000004</v>
      </c>
      <c r="P420">
        <v>1188.42</v>
      </c>
      <c r="Q420">
        <f t="shared" si="37"/>
        <v>1188.42</v>
      </c>
      <c r="R420">
        <f t="shared" si="38"/>
        <v>0</v>
      </c>
    </row>
    <row r="421" spans="1:18" x14ac:dyDescent="0.35">
      <c r="A421">
        <v>10420</v>
      </c>
      <c r="B421" t="s">
        <v>274</v>
      </c>
      <c r="C421" s="1">
        <f t="shared" si="36"/>
        <v>44981</v>
      </c>
      <c r="D421">
        <v>1276</v>
      </c>
      <c r="E421" t="s">
        <v>29</v>
      </c>
      <c r="F421" t="str">
        <f t="shared" si="39"/>
        <v>Home</v>
      </c>
      <c r="G421" t="s">
        <v>21</v>
      </c>
      <c r="H421" t="str">
        <f t="shared" si="40"/>
        <v>North</v>
      </c>
      <c r="I421">
        <v>7</v>
      </c>
      <c r="J421">
        <v>515.98</v>
      </c>
      <c r="K421">
        <v>0.27</v>
      </c>
      <c r="L421" t="str">
        <f t="shared" si="41"/>
        <v>Card</v>
      </c>
      <c r="M421" t="s">
        <v>16</v>
      </c>
      <c r="N421">
        <v>4</v>
      </c>
      <c r="O421">
        <v>2.8</v>
      </c>
      <c r="P421">
        <v>2636.66</v>
      </c>
      <c r="Q421">
        <f t="shared" si="37"/>
        <v>2636.66</v>
      </c>
      <c r="R421">
        <f t="shared" si="38"/>
        <v>0</v>
      </c>
    </row>
    <row r="422" spans="1:18" x14ac:dyDescent="0.35">
      <c r="A422">
        <v>10421</v>
      </c>
      <c r="B422" t="s">
        <v>275</v>
      </c>
      <c r="C422" s="1">
        <f t="shared" si="36"/>
        <v>44982</v>
      </c>
      <c r="D422">
        <v>1815</v>
      </c>
      <c r="E422" t="s">
        <v>12</v>
      </c>
      <c r="F422" t="str">
        <f t="shared" si="39"/>
        <v>Beauty</v>
      </c>
      <c r="G422" t="s">
        <v>21</v>
      </c>
      <c r="H422" t="str">
        <f t="shared" si="40"/>
        <v>North</v>
      </c>
      <c r="I422">
        <v>7</v>
      </c>
      <c r="J422">
        <v>196.36</v>
      </c>
      <c r="K422">
        <v>7.0000000000000007E-2</v>
      </c>
      <c r="L422" t="str">
        <f t="shared" si="41"/>
        <v>Wallet</v>
      </c>
      <c r="M422" t="s">
        <v>14</v>
      </c>
      <c r="N422">
        <v>4</v>
      </c>
      <c r="O422">
        <v>3.8</v>
      </c>
      <c r="P422">
        <v>1278.3</v>
      </c>
      <c r="Q422">
        <f t="shared" si="37"/>
        <v>1278.3</v>
      </c>
      <c r="R422">
        <f t="shared" si="38"/>
        <v>0</v>
      </c>
    </row>
    <row r="423" spans="1:18" x14ac:dyDescent="0.35">
      <c r="A423">
        <v>10422</v>
      </c>
      <c r="B423" t="s">
        <v>276</v>
      </c>
      <c r="C423" s="1">
        <f t="shared" si="36"/>
        <v>44983</v>
      </c>
      <c r="D423">
        <v>1915</v>
      </c>
      <c r="E423" t="s">
        <v>19</v>
      </c>
      <c r="F423" t="str">
        <f t="shared" si="39"/>
        <v>Electronics</v>
      </c>
      <c r="G423" t="s">
        <v>13</v>
      </c>
      <c r="H423" t="str">
        <f t="shared" si="40"/>
        <v>South</v>
      </c>
      <c r="I423">
        <v>5</v>
      </c>
      <c r="J423">
        <v>244.76</v>
      </c>
      <c r="K423">
        <v>0.13</v>
      </c>
      <c r="L423" t="str">
        <f t="shared" si="41"/>
        <v>Cod</v>
      </c>
      <c r="M423" t="s">
        <v>18</v>
      </c>
      <c r="N423">
        <v>10</v>
      </c>
      <c r="O423">
        <v>2.9</v>
      </c>
      <c r="P423">
        <v>1064.71</v>
      </c>
      <c r="Q423">
        <f t="shared" si="37"/>
        <v>1064.71</v>
      </c>
      <c r="R423">
        <f t="shared" si="38"/>
        <v>0</v>
      </c>
    </row>
    <row r="424" spans="1:18" x14ac:dyDescent="0.35">
      <c r="A424">
        <v>10423</v>
      </c>
      <c r="B424" t="s">
        <v>277</v>
      </c>
      <c r="C424" s="1">
        <f t="shared" si="36"/>
        <v>44984</v>
      </c>
      <c r="D424">
        <v>1503</v>
      </c>
      <c r="E424" t="s">
        <v>29</v>
      </c>
      <c r="F424" t="str">
        <f t="shared" si="39"/>
        <v>Home</v>
      </c>
      <c r="G424" t="s">
        <v>13</v>
      </c>
      <c r="H424" t="str">
        <f t="shared" si="40"/>
        <v>South</v>
      </c>
      <c r="I424">
        <v>2</v>
      </c>
      <c r="J424">
        <v>223.59</v>
      </c>
      <c r="K424">
        <v>0.19</v>
      </c>
      <c r="L424" t="str">
        <f t="shared" si="41"/>
        <v>Cod</v>
      </c>
      <c r="M424" t="s">
        <v>18</v>
      </c>
      <c r="N424">
        <v>10</v>
      </c>
      <c r="O424">
        <v>2.4</v>
      </c>
      <c r="P424">
        <v>362.22</v>
      </c>
      <c r="Q424">
        <f t="shared" si="37"/>
        <v>362.22</v>
      </c>
      <c r="R424">
        <f t="shared" si="38"/>
        <v>0</v>
      </c>
    </row>
    <row r="425" spans="1:18" x14ac:dyDescent="0.35">
      <c r="A425">
        <v>10424</v>
      </c>
      <c r="B425" t="s">
        <v>278</v>
      </c>
      <c r="C425" s="1">
        <f t="shared" si="36"/>
        <v>44985</v>
      </c>
      <c r="D425">
        <v>1895</v>
      </c>
      <c r="E425" t="s">
        <v>15</v>
      </c>
      <c r="F425" t="str">
        <f t="shared" si="39"/>
        <v>Clothing</v>
      </c>
      <c r="G425" t="s">
        <v>13</v>
      </c>
      <c r="H425" t="str">
        <f t="shared" si="40"/>
        <v>South</v>
      </c>
      <c r="I425">
        <v>4</v>
      </c>
      <c r="J425">
        <v>502.22</v>
      </c>
      <c r="K425">
        <v>0.21</v>
      </c>
      <c r="L425" t="str">
        <f t="shared" si="41"/>
        <v>Card</v>
      </c>
      <c r="M425" t="s">
        <v>16</v>
      </c>
      <c r="N425">
        <v>6</v>
      </c>
      <c r="O425">
        <v>3.5</v>
      </c>
      <c r="P425">
        <v>1587.02</v>
      </c>
      <c r="Q425">
        <f t="shared" si="37"/>
        <v>1587.02</v>
      </c>
      <c r="R425">
        <f t="shared" si="38"/>
        <v>0</v>
      </c>
    </row>
    <row r="426" spans="1:18" x14ac:dyDescent="0.35">
      <c r="A426">
        <v>10425</v>
      </c>
      <c r="B426" s="1">
        <v>44929</v>
      </c>
      <c r="C426" s="1">
        <f t="shared" si="36"/>
        <v>44986</v>
      </c>
      <c r="D426">
        <v>1391</v>
      </c>
      <c r="E426" t="s">
        <v>15</v>
      </c>
      <c r="F426" t="str">
        <f t="shared" si="39"/>
        <v>Clothing</v>
      </c>
      <c r="G426" t="s">
        <v>20</v>
      </c>
      <c r="H426" t="str">
        <f t="shared" si="40"/>
        <v>West</v>
      </c>
      <c r="I426">
        <v>4</v>
      </c>
      <c r="J426">
        <v>40.94</v>
      </c>
      <c r="K426">
        <v>0.16</v>
      </c>
      <c r="L426" t="str">
        <f t="shared" si="41"/>
        <v>Cod</v>
      </c>
      <c r="M426" t="s">
        <v>18</v>
      </c>
      <c r="N426">
        <v>10</v>
      </c>
      <c r="O426">
        <v>4.0999999999999996</v>
      </c>
      <c r="P426">
        <v>137.56</v>
      </c>
      <c r="Q426">
        <f t="shared" si="37"/>
        <v>137.56</v>
      </c>
      <c r="R426">
        <f t="shared" si="38"/>
        <v>0</v>
      </c>
    </row>
    <row r="427" spans="1:18" x14ac:dyDescent="0.35">
      <c r="A427">
        <v>10426</v>
      </c>
      <c r="B427" s="1">
        <v>44960</v>
      </c>
      <c r="C427" s="1">
        <f t="shared" si="36"/>
        <v>44987</v>
      </c>
      <c r="D427">
        <v>1134</v>
      </c>
      <c r="E427" t="s">
        <v>19</v>
      </c>
      <c r="F427" t="str">
        <f t="shared" si="39"/>
        <v>Electronics</v>
      </c>
      <c r="G427" t="s">
        <v>20</v>
      </c>
      <c r="H427" t="str">
        <f t="shared" si="40"/>
        <v>West</v>
      </c>
      <c r="I427">
        <v>2</v>
      </c>
      <c r="J427">
        <v>195.43</v>
      </c>
      <c r="K427">
        <v>0.28000000000000003</v>
      </c>
      <c r="L427" t="str">
        <f t="shared" si="41"/>
        <v>Wallet</v>
      </c>
      <c r="M427" t="s">
        <v>14</v>
      </c>
      <c r="N427">
        <v>1</v>
      </c>
      <c r="O427">
        <v>3.5</v>
      </c>
      <c r="P427">
        <v>281.42</v>
      </c>
      <c r="Q427">
        <f t="shared" si="37"/>
        <v>281.42</v>
      </c>
      <c r="R427">
        <f t="shared" si="38"/>
        <v>0</v>
      </c>
    </row>
    <row r="428" spans="1:18" x14ac:dyDescent="0.35">
      <c r="A428">
        <v>10427</v>
      </c>
      <c r="B428" s="1">
        <v>44988</v>
      </c>
      <c r="C428" s="1">
        <f t="shared" si="36"/>
        <v>44988</v>
      </c>
      <c r="D428">
        <v>1194</v>
      </c>
      <c r="E428" t="s">
        <v>12</v>
      </c>
      <c r="F428" t="str">
        <f t="shared" si="39"/>
        <v>Beauty</v>
      </c>
      <c r="G428" t="s">
        <v>21</v>
      </c>
      <c r="H428" t="str">
        <f t="shared" si="40"/>
        <v>North</v>
      </c>
      <c r="I428">
        <v>1</v>
      </c>
      <c r="J428">
        <v>412.45</v>
      </c>
      <c r="K428">
        <v>0.27</v>
      </c>
      <c r="L428" t="str">
        <f t="shared" si="41"/>
        <v>Cod</v>
      </c>
      <c r="M428" t="s">
        <v>18</v>
      </c>
      <c r="N428">
        <v>10</v>
      </c>
      <c r="O428">
        <v>4.3</v>
      </c>
      <c r="P428">
        <v>301.08999999999997</v>
      </c>
      <c r="Q428">
        <f t="shared" si="37"/>
        <v>301.08999999999997</v>
      </c>
      <c r="R428">
        <f t="shared" si="38"/>
        <v>0</v>
      </c>
    </row>
    <row r="429" spans="1:18" x14ac:dyDescent="0.35">
      <c r="A429">
        <v>10428</v>
      </c>
      <c r="B429" s="1">
        <v>45019</v>
      </c>
      <c r="C429" s="1">
        <f t="shared" si="36"/>
        <v>44989</v>
      </c>
      <c r="D429">
        <v>1400</v>
      </c>
      <c r="E429" t="s">
        <v>19</v>
      </c>
      <c r="F429" t="str">
        <f t="shared" si="39"/>
        <v>Electronics</v>
      </c>
      <c r="G429" t="s">
        <v>20</v>
      </c>
      <c r="H429" t="str">
        <f t="shared" si="40"/>
        <v>West</v>
      </c>
      <c r="I429">
        <v>1</v>
      </c>
      <c r="J429">
        <v>345.78</v>
      </c>
      <c r="K429">
        <v>0.18</v>
      </c>
      <c r="L429" t="str">
        <f t="shared" si="41"/>
        <v>Cod</v>
      </c>
      <c r="M429" t="s">
        <v>18</v>
      </c>
      <c r="N429">
        <v>5</v>
      </c>
      <c r="O429">
        <v>1.7</v>
      </c>
      <c r="P429">
        <v>283.54000000000002</v>
      </c>
      <c r="Q429">
        <f t="shared" si="37"/>
        <v>283.54000000000002</v>
      </c>
      <c r="R429">
        <f t="shared" si="38"/>
        <v>0</v>
      </c>
    </row>
    <row r="430" spans="1:18" x14ac:dyDescent="0.35">
      <c r="A430">
        <v>10429</v>
      </c>
      <c r="B430" s="1">
        <v>45049</v>
      </c>
      <c r="C430" s="1">
        <f t="shared" si="36"/>
        <v>44990</v>
      </c>
      <c r="D430">
        <v>1639</v>
      </c>
      <c r="E430" t="s">
        <v>19</v>
      </c>
      <c r="F430" t="str">
        <f t="shared" si="39"/>
        <v>Electronics</v>
      </c>
      <c r="G430" t="s">
        <v>20</v>
      </c>
      <c r="H430" t="str">
        <f t="shared" si="40"/>
        <v>West</v>
      </c>
      <c r="I430">
        <v>5</v>
      </c>
      <c r="J430">
        <v>270.23</v>
      </c>
      <c r="K430">
        <v>0.3</v>
      </c>
      <c r="L430" t="str">
        <f t="shared" si="41"/>
        <v>Card</v>
      </c>
      <c r="M430" t="s">
        <v>16</v>
      </c>
      <c r="N430">
        <v>3</v>
      </c>
      <c r="O430">
        <v>2.5</v>
      </c>
      <c r="P430">
        <v>945.8</v>
      </c>
      <c r="Q430">
        <f t="shared" si="37"/>
        <v>945.81</v>
      </c>
      <c r="R430">
        <f t="shared" si="38"/>
        <v>-0.01</v>
      </c>
    </row>
    <row r="431" spans="1:18" x14ac:dyDescent="0.35">
      <c r="A431">
        <v>10430</v>
      </c>
      <c r="B431" s="1">
        <v>45080</v>
      </c>
      <c r="C431" s="1">
        <f t="shared" si="36"/>
        <v>44991</v>
      </c>
      <c r="D431">
        <v>1032</v>
      </c>
      <c r="E431" t="s">
        <v>19</v>
      </c>
      <c r="F431" t="str">
        <f t="shared" si="39"/>
        <v>Electronics</v>
      </c>
      <c r="G431" t="s">
        <v>17</v>
      </c>
      <c r="H431" t="str">
        <f t="shared" si="40"/>
        <v>East</v>
      </c>
      <c r="I431">
        <v>1</v>
      </c>
      <c r="J431">
        <v>330.87</v>
      </c>
      <c r="K431">
        <v>0.26</v>
      </c>
      <c r="L431" t="str">
        <f t="shared" si="41"/>
        <v>Card</v>
      </c>
      <c r="M431" t="s">
        <v>16</v>
      </c>
      <c r="N431">
        <v>1</v>
      </c>
      <c r="O431">
        <v>2.2999999999999998</v>
      </c>
      <c r="P431">
        <v>244.84</v>
      </c>
      <c r="Q431">
        <f t="shared" si="37"/>
        <v>244.84</v>
      </c>
      <c r="R431">
        <f t="shared" si="38"/>
        <v>0</v>
      </c>
    </row>
    <row r="432" spans="1:18" x14ac:dyDescent="0.35">
      <c r="A432">
        <v>10431</v>
      </c>
      <c r="B432" s="1">
        <v>45110</v>
      </c>
      <c r="C432" s="1">
        <f t="shared" si="36"/>
        <v>44992</v>
      </c>
      <c r="D432">
        <v>1687</v>
      </c>
      <c r="E432" t="s">
        <v>12</v>
      </c>
      <c r="F432" t="str">
        <f t="shared" si="39"/>
        <v>Beauty</v>
      </c>
      <c r="G432" t="s">
        <v>20</v>
      </c>
      <c r="H432" t="str">
        <f t="shared" si="40"/>
        <v>West</v>
      </c>
      <c r="I432">
        <v>5</v>
      </c>
      <c r="J432">
        <v>130.59</v>
      </c>
      <c r="K432">
        <v>0.27</v>
      </c>
      <c r="L432" t="str">
        <f t="shared" si="41"/>
        <v>Card</v>
      </c>
      <c r="M432" t="s">
        <v>16</v>
      </c>
      <c r="N432">
        <v>6</v>
      </c>
      <c r="O432">
        <v>1.8</v>
      </c>
      <c r="P432">
        <v>476.65</v>
      </c>
      <c r="Q432">
        <f t="shared" si="37"/>
        <v>476.65</v>
      </c>
      <c r="R432">
        <f t="shared" si="38"/>
        <v>0</v>
      </c>
    </row>
    <row r="433" spans="1:18" x14ac:dyDescent="0.35">
      <c r="A433">
        <v>10432</v>
      </c>
      <c r="B433" s="1">
        <v>45141</v>
      </c>
      <c r="C433" s="1">
        <f t="shared" si="36"/>
        <v>44993</v>
      </c>
      <c r="D433">
        <v>1459</v>
      </c>
      <c r="E433" t="s">
        <v>29</v>
      </c>
      <c r="F433" t="str">
        <f t="shared" si="39"/>
        <v>Home</v>
      </c>
      <c r="G433" t="s">
        <v>17</v>
      </c>
      <c r="H433" t="str">
        <f t="shared" si="40"/>
        <v>East</v>
      </c>
      <c r="I433">
        <v>3</v>
      </c>
      <c r="J433">
        <v>266.97000000000003</v>
      </c>
      <c r="K433">
        <v>0.33</v>
      </c>
      <c r="L433" t="str">
        <f t="shared" si="41"/>
        <v>Card</v>
      </c>
      <c r="M433" t="s">
        <v>16</v>
      </c>
      <c r="N433">
        <v>3</v>
      </c>
      <c r="O433">
        <v>2.8</v>
      </c>
      <c r="P433">
        <v>536.61</v>
      </c>
      <c r="Q433">
        <f t="shared" si="37"/>
        <v>536.61</v>
      </c>
      <c r="R433">
        <f t="shared" si="38"/>
        <v>0</v>
      </c>
    </row>
    <row r="434" spans="1:18" x14ac:dyDescent="0.35">
      <c r="A434">
        <v>10433</v>
      </c>
      <c r="B434" s="1">
        <v>45172</v>
      </c>
      <c r="C434" s="1">
        <f t="shared" si="36"/>
        <v>44994</v>
      </c>
      <c r="D434">
        <v>1954</v>
      </c>
      <c r="E434" t="s">
        <v>29</v>
      </c>
      <c r="F434" t="str">
        <f t="shared" si="39"/>
        <v>Home</v>
      </c>
      <c r="G434" t="s">
        <v>13</v>
      </c>
      <c r="H434" t="str">
        <f t="shared" si="40"/>
        <v>South</v>
      </c>
      <c r="I434">
        <v>2</v>
      </c>
      <c r="J434">
        <v>308.5</v>
      </c>
      <c r="K434">
        <v>0.09</v>
      </c>
      <c r="L434" t="str">
        <f t="shared" si="41"/>
        <v>Cod</v>
      </c>
      <c r="M434" t="s">
        <v>18</v>
      </c>
      <c r="N434">
        <v>4</v>
      </c>
      <c r="O434">
        <v>4.8</v>
      </c>
      <c r="P434">
        <v>561.47</v>
      </c>
      <c r="Q434">
        <f t="shared" si="37"/>
        <v>561.47</v>
      </c>
      <c r="R434">
        <f t="shared" si="38"/>
        <v>0</v>
      </c>
    </row>
    <row r="435" spans="1:18" x14ac:dyDescent="0.35">
      <c r="A435">
        <v>10434</v>
      </c>
      <c r="B435" s="1">
        <v>45202</v>
      </c>
      <c r="C435" s="1">
        <f t="shared" si="36"/>
        <v>44995</v>
      </c>
      <c r="D435">
        <v>1882</v>
      </c>
      <c r="E435" t="s">
        <v>19</v>
      </c>
      <c r="F435" t="str">
        <f t="shared" si="39"/>
        <v>Electronics</v>
      </c>
      <c r="G435" t="s">
        <v>17</v>
      </c>
      <c r="H435" t="str">
        <f t="shared" si="40"/>
        <v>East</v>
      </c>
      <c r="I435">
        <v>4</v>
      </c>
      <c r="J435">
        <v>542.20000000000005</v>
      </c>
      <c r="K435">
        <v>0.09</v>
      </c>
      <c r="L435" t="str">
        <f t="shared" si="41"/>
        <v>Card</v>
      </c>
      <c r="M435" t="s">
        <v>16</v>
      </c>
      <c r="N435">
        <v>9</v>
      </c>
      <c r="O435">
        <v>3.2</v>
      </c>
      <c r="P435">
        <v>1973.61</v>
      </c>
      <c r="Q435">
        <f t="shared" si="37"/>
        <v>1973.61</v>
      </c>
      <c r="R435">
        <f t="shared" si="38"/>
        <v>0</v>
      </c>
    </row>
    <row r="436" spans="1:18" x14ac:dyDescent="0.35">
      <c r="A436">
        <v>10435</v>
      </c>
      <c r="B436" s="1">
        <v>45233</v>
      </c>
      <c r="C436" s="1">
        <f t="shared" si="36"/>
        <v>44996</v>
      </c>
      <c r="D436">
        <v>1469</v>
      </c>
      <c r="E436" t="s">
        <v>15</v>
      </c>
      <c r="F436" t="str">
        <f t="shared" si="39"/>
        <v>Clothing</v>
      </c>
      <c r="G436" t="s">
        <v>17</v>
      </c>
      <c r="H436" t="str">
        <f t="shared" si="40"/>
        <v>East</v>
      </c>
      <c r="I436">
        <v>5</v>
      </c>
      <c r="J436">
        <v>167.59</v>
      </c>
      <c r="K436">
        <v>0.31</v>
      </c>
      <c r="L436" t="str">
        <f t="shared" si="41"/>
        <v>Cod</v>
      </c>
      <c r="M436" t="s">
        <v>18</v>
      </c>
      <c r="N436">
        <v>2</v>
      </c>
      <c r="O436">
        <v>2.1</v>
      </c>
      <c r="P436">
        <v>578.19000000000005</v>
      </c>
      <c r="Q436">
        <f t="shared" si="37"/>
        <v>578.19000000000005</v>
      </c>
      <c r="R436">
        <f t="shared" si="38"/>
        <v>0</v>
      </c>
    </row>
    <row r="437" spans="1:18" x14ac:dyDescent="0.35">
      <c r="A437">
        <v>10436</v>
      </c>
      <c r="B437" s="1">
        <v>45263</v>
      </c>
      <c r="C437" s="1">
        <f t="shared" si="36"/>
        <v>44997</v>
      </c>
      <c r="D437">
        <v>1374</v>
      </c>
      <c r="E437" t="s">
        <v>15</v>
      </c>
      <c r="F437" t="str">
        <f t="shared" si="39"/>
        <v>Clothing</v>
      </c>
      <c r="G437" t="s">
        <v>13</v>
      </c>
      <c r="H437" t="str">
        <f t="shared" si="40"/>
        <v>South</v>
      </c>
      <c r="I437">
        <v>7</v>
      </c>
      <c r="J437">
        <v>522.67999999999995</v>
      </c>
      <c r="K437">
        <v>0.27</v>
      </c>
      <c r="L437" t="str">
        <f t="shared" si="41"/>
        <v>Card</v>
      </c>
      <c r="M437" t="s">
        <v>16</v>
      </c>
      <c r="N437">
        <v>1</v>
      </c>
      <c r="O437">
        <v>2.4</v>
      </c>
      <c r="P437">
        <v>2670.89</v>
      </c>
      <c r="Q437">
        <f t="shared" si="37"/>
        <v>2670.89</v>
      </c>
      <c r="R437">
        <f t="shared" si="38"/>
        <v>0</v>
      </c>
    </row>
    <row r="438" spans="1:18" x14ac:dyDescent="0.35">
      <c r="A438">
        <v>10437</v>
      </c>
      <c r="B438" t="s">
        <v>279</v>
      </c>
      <c r="C438" s="1">
        <f t="shared" si="36"/>
        <v>44998</v>
      </c>
      <c r="D438">
        <v>1021</v>
      </c>
      <c r="E438" t="s">
        <v>29</v>
      </c>
      <c r="F438" t="str">
        <f t="shared" si="39"/>
        <v>Home</v>
      </c>
      <c r="G438" t="s">
        <v>13</v>
      </c>
      <c r="H438" t="str">
        <f t="shared" si="40"/>
        <v>South</v>
      </c>
      <c r="I438">
        <v>1</v>
      </c>
      <c r="J438">
        <v>391.88</v>
      </c>
      <c r="K438">
        <v>0.32</v>
      </c>
      <c r="L438" t="str">
        <f t="shared" si="41"/>
        <v>Card</v>
      </c>
      <c r="M438" t="s">
        <v>16</v>
      </c>
      <c r="N438">
        <v>10</v>
      </c>
      <c r="O438">
        <v>3.5</v>
      </c>
      <c r="P438">
        <v>266.48</v>
      </c>
      <c r="Q438">
        <f t="shared" si="37"/>
        <v>266.48</v>
      </c>
      <c r="R438">
        <f t="shared" si="38"/>
        <v>0</v>
      </c>
    </row>
    <row r="439" spans="1:18" x14ac:dyDescent="0.35">
      <c r="A439">
        <v>10438</v>
      </c>
      <c r="B439" t="s">
        <v>280</v>
      </c>
      <c r="C439" s="1">
        <f t="shared" si="36"/>
        <v>44999</v>
      </c>
      <c r="D439">
        <v>1749</v>
      </c>
      <c r="E439" t="s">
        <v>12</v>
      </c>
      <c r="F439" t="str">
        <f t="shared" si="39"/>
        <v>Beauty</v>
      </c>
      <c r="G439" t="s">
        <v>21</v>
      </c>
      <c r="H439" t="str">
        <f t="shared" si="40"/>
        <v>North</v>
      </c>
      <c r="I439">
        <v>7</v>
      </c>
      <c r="J439">
        <v>26.9</v>
      </c>
      <c r="K439">
        <v>0.02</v>
      </c>
      <c r="L439" t="str">
        <f t="shared" si="41"/>
        <v>Card</v>
      </c>
      <c r="M439" t="s">
        <v>16</v>
      </c>
      <c r="N439">
        <v>6</v>
      </c>
      <c r="O439">
        <v>2.4</v>
      </c>
      <c r="P439">
        <v>184.53</v>
      </c>
      <c r="Q439">
        <f t="shared" si="37"/>
        <v>184.53</v>
      </c>
      <c r="R439">
        <f t="shared" si="38"/>
        <v>0</v>
      </c>
    </row>
    <row r="440" spans="1:18" x14ac:dyDescent="0.35">
      <c r="A440">
        <v>10439</v>
      </c>
      <c r="B440" t="s">
        <v>281</v>
      </c>
      <c r="C440" s="1">
        <f t="shared" si="36"/>
        <v>45000</v>
      </c>
      <c r="D440">
        <v>1669</v>
      </c>
      <c r="E440" t="s">
        <v>19</v>
      </c>
      <c r="F440" t="str">
        <f t="shared" si="39"/>
        <v>Electronics</v>
      </c>
      <c r="G440" t="s">
        <v>21</v>
      </c>
      <c r="H440" t="str">
        <f t="shared" si="40"/>
        <v>North</v>
      </c>
      <c r="I440">
        <v>5</v>
      </c>
      <c r="J440">
        <v>438.91</v>
      </c>
      <c r="K440">
        <v>0.22</v>
      </c>
      <c r="L440" t="str">
        <f t="shared" si="41"/>
        <v>Wallet</v>
      </c>
      <c r="M440" t="s">
        <v>14</v>
      </c>
      <c r="N440">
        <v>1</v>
      </c>
      <c r="O440">
        <v>3.2</v>
      </c>
      <c r="P440">
        <v>1711.75</v>
      </c>
      <c r="Q440">
        <f t="shared" si="37"/>
        <v>1711.75</v>
      </c>
      <c r="R440">
        <f t="shared" si="38"/>
        <v>0</v>
      </c>
    </row>
    <row r="441" spans="1:18" x14ac:dyDescent="0.35">
      <c r="A441">
        <v>10440</v>
      </c>
      <c r="B441" t="s">
        <v>282</v>
      </c>
      <c r="C441" s="1">
        <f t="shared" si="36"/>
        <v>45001</v>
      </c>
      <c r="D441">
        <v>1037</v>
      </c>
      <c r="E441" t="s">
        <v>29</v>
      </c>
      <c r="F441" t="str">
        <f t="shared" si="39"/>
        <v>Home</v>
      </c>
      <c r="G441" t="s">
        <v>21</v>
      </c>
      <c r="H441" t="str">
        <f t="shared" si="40"/>
        <v>North</v>
      </c>
      <c r="I441">
        <v>6</v>
      </c>
      <c r="J441">
        <v>35.799999999999997</v>
      </c>
      <c r="K441">
        <v>0.05</v>
      </c>
      <c r="L441" t="str">
        <f t="shared" si="41"/>
        <v>Card</v>
      </c>
      <c r="M441" t="s">
        <v>16</v>
      </c>
      <c r="N441">
        <v>1</v>
      </c>
      <c r="O441">
        <v>2.1</v>
      </c>
      <c r="P441">
        <v>204.06</v>
      </c>
      <c r="Q441">
        <f t="shared" si="37"/>
        <v>204.06</v>
      </c>
      <c r="R441">
        <f t="shared" si="38"/>
        <v>0</v>
      </c>
    </row>
    <row r="442" spans="1:18" x14ac:dyDescent="0.35">
      <c r="A442">
        <v>10441</v>
      </c>
      <c r="B442" t="s">
        <v>283</v>
      </c>
      <c r="C442" s="1">
        <f t="shared" si="36"/>
        <v>45002</v>
      </c>
      <c r="D442">
        <v>1229</v>
      </c>
      <c r="E442" t="s">
        <v>19</v>
      </c>
      <c r="F442" t="str">
        <f t="shared" si="39"/>
        <v>Electronics</v>
      </c>
      <c r="G442" t="s">
        <v>21</v>
      </c>
      <c r="H442" t="str">
        <f t="shared" si="40"/>
        <v>North</v>
      </c>
      <c r="I442">
        <v>5</v>
      </c>
      <c r="J442">
        <v>598.47</v>
      </c>
      <c r="K442">
        <v>0.18</v>
      </c>
      <c r="L442" t="str">
        <f t="shared" si="41"/>
        <v>Card</v>
      </c>
      <c r="M442" t="s">
        <v>16</v>
      </c>
      <c r="N442">
        <v>7</v>
      </c>
      <c r="O442">
        <v>2.4</v>
      </c>
      <c r="P442">
        <v>2453.73</v>
      </c>
      <c r="Q442">
        <f t="shared" si="37"/>
        <v>2453.73</v>
      </c>
      <c r="R442">
        <f t="shared" si="38"/>
        <v>0</v>
      </c>
    </row>
    <row r="443" spans="1:18" x14ac:dyDescent="0.35">
      <c r="A443">
        <v>10442</v>
      </c>
      <c r="B443" t="s">
        <v>284</v>
      </c>
      <c r="C443" s="1">
        <f t="shared" si="36"/>
        <v>45003</v>
      </c>
      <c r="D443">
        <v>1364</v>
      </c>
      <c r="E443" t="s">
        <v>15</v>
      </c>
      <c r="F443" t="str">
        <f t="shared" si="39"/>
        <v>Clothing</v>
      </c>
      <c r="G443" t="s">
        <v>17</v>
      </c>
      <c r="H443" t="str">
        <f t="shared" si="40"/>
        <v>East</v>
      </c>
      <c r="I443">
        <v>1</v>
      </c>
      <c r="J443">
        <v>525.49</v>
      </c>
      <c r="K443">
        <v>0.05</v>
      </c>
      <c r="L443" t="str">
        <f t="shared" si="41"/>
        <v>Wallet</v>
      </c>
      <c r="M443" t="s">
        <v>14</v>
      </c>
      <c r="N443">
        <v>2</v>
      </c>
      <c r="O443">
        <v>3.8</v>
      </c>
      <c r="P443">
        <v>499.22</v>
      </c>
      <c r="Q443">
        <f t="shared" si="37"/>
        <v>499.22</v>
      </c>
      <c r="R443">
        <f t="shared" si="38"/>
        <v>0</v>
      </c>
    </row>
    <row r="444" spans="1:18" x14ac:dyDescent="0.35">
      <c r="A444">
        <v>10443</v>
      </c>
      <c r="B444" t="s">
        <v>285</v>
      </c>
      <c r="C444" s="1">
        <f t="shared" si="36"/>
        <v>45004</v>
      </c>
      <c r="D444">
        <v>1562</v>
      </c>
      <c r="E444" t="s">
        <v>19</v>
      </c>
      <c r="F444" t="str">
        <f t="shared" si="39"/>
        <v>Electronics</v>
      </c>
      <c r="G444" t="s">
        <v>17</v>
      </c>
      <c r="H444" t="str">
        <f t="shared" si="40"/>
        <v>East</v>
      </c>
      <c r="I444">
        <v>6</v>
      </c>
      <c r="J444">
        <v>188.95</v>
      </c>
      <c r="K444">
        <v>0.04</v>
      </c>
      <c r="L444" t="str">
        <f t="shared" si="41"/>
        <v>Wallet</v>
      </c>
      <c r="M444" t="s">
        <v>14</v>
      </c>
      <c r="N444">
        <v>4</v>
      </c>
      <c r="O444">
        <v>3.3</v>
      </c>
      <c r="P444">
        <v>1088.3499999999999</v>
      </c>
      <c r="Q444">
        <f t="shared" si="37"/>
        <v>1088.3499999999999</v>
      </c>
      <c r="R444">
        <f t="shared" si="38"/>
        <v>0</v>
      </c>
    </row>
    <row r="445" spans="1:18" x14ac:dyDescent="0.35">
      <c r="A445">
        <v>10444</v>
      </c>
      <c r="B445" t="s">
        <v>286</v>
      </c>
      <c r="C445" s="1">
        <f t="shared" si="36"/>
        <v>45005</v>
      </c>
      <c r="D445">
        <v>1437</v>
      </c>
      <c r="E445" t="s">
        <v>19</v>
      </c>
      <c r="F445" t="str">
        <f t="shared" si="39"/>
        <v>Electronics</v>
      </c>
      <c r="G445" t="s">
        <v>21</v>
      </c>
      <c r="H445" t="str">
        <f t="shared" si="40"/>
        <v>North</v>
      </c>
      <c r="I445">
        <v>6</v>
      </c>
      <c r="J445">
        <v>165.59</v>
      </c>
      <c r="K445">
        <v>0</v>
      </c>
      <c r="L445" t="str">
        <f t="shared" si="41"/>
        <v>Cod</v>
      </c>
      <c r="M445" t="s">
        <v>18</v>
      </c>
      <c r="N445">
        <v>4</v>
      </c>
      <c r="O445">
        <v>1.4</v>
      </c>
      <c r="P445">
        <v>993.54</v>
      </c>
      <c r="Q445">
        <f t="shared" si="37"/>
        <v>993.54</v>
      </c>
      <c r="R445">
        <f t="shared" si="38"/>
        <v>0</v>
      </c>
    </row>
    <row r="446" spans="1:18" x14ac:dyDescent="0.35">
      <c r="A446">
        <v>10445</v>
      </c>
      <c r="B446" t="s">
        <v>287</v>
      </c>
      <c r="C446" s="1">
        <f t="shared" si="36"/>
        <v>45006</v>
      </c>
      <c r="D446">
        <v>1775</v>
      </c>
      <c r="E446" t="s">
        <v>15</v>
      </c>
      <c r="F446" t="str">
        <f t="shared" si="39"/>
        <v>Clothing</v>
      </c>
      <c r="G446" t="s">
        <v>20</v>
      </c>
      <c r="H446" t="str">
        <f t="shared" si="40"/>
        <v>West</v>
      </c>
      <c r="I446">
        <v>1</v>
      </c>
      <c r="J446">
        <v>238.14</v>
      </c>
      <c r="K446">
        <v>0.22</v>
      </c>
      <c r="L446" t="str">
        <f t="shared" si="41"/>
        <v>Card</v>
      </c>
      <c r="M446" t="s">
        <v>16</v>
      </c>
      <c r="N446">
        <v>2</v>
      </c>
      <c r="O446">
        <v>4.9000000000000004</v>
      </c>
      <c r="P446">
        <v>185.75</v>
      </c>
      <c r="Q446">
        <f t="shared" si="37"/>
        <v>185.75</v>
      </c>
      <c r="R446">
        <f t="shared" si="38"/>
        <v>0</v>
      </c>
    </row>
    <row r="447" spans="1:18" x14ac:dyDescent="0.35">
      <c r="A447">
        <v>10446</v>
      </c>
      <c r="B447" t="s">
        <v>288</v>
      </c>
      <c r="C447" s="1">
        <f t="shared" si="36"/>
        <v>45007</v>
      </c>
      <c r="D447">
        <v>1282</v>
      </c>
      <c r="E447" t="s">
        <v>15</v>
      </c>
      <c r="F447" t="str">
        <f t="shared" si="39"/>
        <v>Clothing</v>
      </c>
      <c r="G447" t="s">
        <v>21</v>
      </c>
      <c r="H447" t="str">
        <f t="shared" si="40"/>
        <v>North</v>
      </c>
      <c r="I447">
        <v>6</v>
      </c>
      <c r="J447">
        <v>223.36</v>
      </c>
      <c r="K447">
        <v>0.13</v>
      </c>
      <c r="L447" t="str">
        <f t="shared" si="41"/>
        <v>Card</v>
      </c>
      <c r="M447" t="s">
        <v>16</v>
      </c>
      <c r="N447">
        <v>6</v>
      </c>
      <c r="O447">
        <v>1.2</v>
      </c>
      <c r="P447">
        <v>1165.94</v>
      </c>
      <c r="Q447">
        <f t="shared" si="37"/>
        <v>1165.94</v>
      </c>
      <c r="R447">
        <f t="shared" si="38"/>
        <v>0</v>
      </c>
    </row>
    <row r="448" spans="1:18" x14ac:dyDescent="0.35">
      <c r="A448">
        <v>10447</v>
      </c>
      <c r="B448" t="s">
        <v>289</v>
      </c>
      <c r="C448" s="1">
        <f t="shared" si="36"/>
        <v>45008</v>
      </c>
      <c r="D448">
        <v>1026</v>
      </c>
      <c r="E448" t="s">
        <v>19</v>
      </c>
      <c r="F448" t="str">
        <f t="shared" si="39"/>
        <v>Electronics</v>
      </c>
      <c r="G448" t="s">
        <v>20</v>
      </c>
      <c r="H448" t="str">
        <f t="shared" si="40"/>
        <v>West</v>
      </c>
      <c r="I448">
        <v>2</v>
      </c>
      <c r="J448">
        <v>232.82</v>
      </c>
      <c r="K448">
        <v>0.04</v>
      </c>
      <c r="L448" t="str">
        <f t="shared" si="41"/>
        <v>Wallet</v>
      </c>
      <c r="M448" t="s">
        <v>14</v>
      </c>
      <c r="N448">
        <v>10</v>
      </c>
      <c r="O448">
        <v>1.3</v>
      </c>
      <c r="P448">
        <v>447.01</v>
      </c>
      <c r="Q448">
        <f t="shared" si="37"/>
        <v>447.01</v>
      </c>
      <c r="R448">
        <f t="shared" si="38"/>
        <v>0</v>
      </c>
    </row>
    <row r="449" spans="1:18" x14ac:dyDescent="0.35">
      <c r="A449">
        <v>10448</v>
      </c>
      <c r="B449" t="s">
        <v>290</v>
      </c>
      <c r="C449" s="1">
        <f t="shared" si="36"/>
        <v>45009</v>
      </c>
      <c r="D449">
        <v>1225</v>
      </c>
      <c r="E449" t="s">
        <v>29</v>
      </c>
      <c r="F449" t="str">
        <f t="shared" si="39"/>
        <v>Home</v>
      </c>
      <c r="G449" t="s">
        <v>13</v>
      </c>
      <c r="H449" t="str">
        <f t="shared" si="40"/>
        <v>South</v>
      </c>
      <c r="I449">
        <v>4</v>
      </c>
      <c r="J449">
        <v>201.19</v>
      </c>
      <c r="K449">
        <v>0.11</v>
      </c>
      <c r="L449" t="str">
        <f t="shared" si="41"/>
        <v>Wallet</v>
      </c>
      <c r="M449" t="s">
        <v>14</v>
      </c>
      <c r="N449">
        <v>2</v>
      </c>
      <c r="O449">
        <v>3.8</v>
      </c>
      <c r="P449">
        <v>716.24</v>
      </c>
      <c r="Q449">
        <f t="shared" si="37"/>
        <v>716.24</v>
      </c>
      <c r="R449">
        <f t="shared" si="38"/>
        <v>0</v>
      </c>
    </row>
    <row r="450" spans="1:18" x14ac:dyDescent="0.35">
      <c r="A450">
        <v>10449</v>
      </c>
      <c r="B450" t="s">
        <v>291</v>
      </c>
      <c r="C450" s="1">
        <f t="shared" ref="C450:C501" si="42">DATE(2022,1,1)+A450-10001</f>
        <v>45010</v>
      </c>
      <c r="D450">
        <v>1276</v>
      </c>
      <c r="E450" t="s">
        <v>15</v>
      </c>
      <c r="F450" t="str">
        <f t="shared" si="39"/>
        <v>Clothing</v>
      </c>
      <c r="G450" t="s">
        <v>17</v>
      </c>
      <c r="H450" t="str">
        <f t="shared" si="40"/>
        <v>East</v>
      </c>
      <c r="I450">
        <v>7</v>
      </c>
      <c r="J450">
        <v>378.36</v>
      </c>
      <c r="K450">
        <v>0.06</v>
      </c>
      <c r="L450" t="str">
        <f t="shared" si="41"/>
        <v>Cod</v>
      </c>
      <c r="M450" t="s">
        <v>18</v>
      </c>
      <c r="N450">
        <v>8</v>
      </c>
      <c r="O450">
        <v>3.8</v>
      </c>
      <c r="P450">
        <v>2489.61</v>
      </c>
      <c r="Q450">
        <f t="shared" ref="Q450:Q501" si="43">ROUND(I450*J450*(1-K450),2)</f>
        <v>2489.61</v>
      </c>
      <c r="R450">
        <f t="shared" ref="R450:R501" si="44">ROUND(P450-Q450,2)</f>
        <v>0</v>
      </c>
    </row>
    <row r="451" spans="1:18" x14ac:dyDescent="0.35">
      <c r="A451">
        <v>10450</v>
      </c>
      <c r="B451" t="s">
        <v>292</v>
      </c>
      <c r="C451" s="1">
        <f t="shared" si="42"/>
        <v>45011</v>
      </c>
      <c r="D451">
        <v>1797</v>
      </c>
      <c r="E451" t="s">
        <v>19</v>
      </c>
      <c r="F451" t="str">
        <f t="shared" ref="F451:F501" si="45">TRIM(PROPER(E451))</f>
        <v>Electronics</v>
      </c>
      <c r="G451" t="s">
        <v>17</v>
      </c>
      <c r="H451" t="str">
        <f t="shared" ref="H451:H501" si="46">TRIM(PROPER(G451))</f>
        <v>East</v>
      </c>
      <c r="I451">
        <v>2</v>
      </c>
      <c r="J451">
        <v>111.09</v>
      </c>
      <c r="K451">
        <v>0.33</v>
      </c>
      <c r="L451" t="str">
        <f t="shared" ref="L451:L501" si="47">TRIM(PROPER(M451))</f>
        <v>Card</v>
      </c>
      <c r="M451" t="s">
        <v>16</v>
      </c>
      <c r="N451">
        <v>4</v>
      </c>
      <c r="O451">
        <v>1.1000000000000001</v>
      </c>
      <c r="P451">
        <v>148.86000000000001</v>
      </c>
      <c r="Q451">
        <f t="shared" si="43"/>
        <v>148.86000000000001</v>
      </c>
      <c r="R451">
        <f t="shared" si="44"/>
        <v>0</v>
      </c>
    </row>
    <row r="452" spans="1:18" x14ac:dyDescent="0.35">
      <c r="A452">
        <v>10451</v>
      </c>
      <c r="B452" t="s">
        <v>293</v>
      </c>
      <c r="C452" s="1">
        <f t="shared" si="42"/>
        <v>45012</v>
      </c>
      <c r="D452">
        <v>1608</v>
      </c>
      <c r="E452" t="s">
        <v>29</v>
      </c>
      <c r="F452" t="str">
        <f t="shared" si="45"/>
        <v>Home</v>
      </c>
      <c r="G452" t="s">
        <v>20</v>
      </c>
      <c r="H452" t="str">
        <f t="shared" si="46"/>
        <v>West</v>
      </c>
      <c r="I452">
        <v>2</v>
      </c>
      <c r="J452">
        <v>509.9</v>
      </c>
      <c r="K452">
        <v>0.11</v>
      </c>
      <c r="L452" t="str">
        <f t="shared" si="47"/>
        <v>Card</v>
      </c>
      <c r="M452" t="s">
        <v>16</v>
      </c>
      <c r="N452">
        <v>1</v>
      </c>
      <c r="O452">
        <v>3.6</v>
      </c>
      <c r="P452">
        <v>907.62</v>
      </c>
      <c r="Q452">
        <f t="shared" si="43"/>
        <v>907.62</v>
      </c>
      <c r="R452">
        <f t="shared" si="44"/>
        <v>0</v>
      </c>
    </row>
    <row r="453" spans="1:18" x14ac:dyDescent="0.35">
      <c r="A453">
        <v>10452</v>
      </c>
      <c r="B453" t="s">
        <v>294</v>
      </c>
      <c r="C453" s="1">
        <f t="shared" si="42"/>
        <v>45013</v>
      </c>
      <c r="D453">
        <v>1283</v>
      </c>
      <c r="E453" t="s">
        <v>19</v>
      </c>
      <c r="F453" t="str">
        <f t="shared" si="45"/>
        <v>Electronics</v>
      </c>
      <c r="G453" t="s">
        <v>21</v>
      </c>
      <c r="H453" t="str">
        <f t="shared" si="46"/>
        <v>North</v>
      </c>
      <c r="I453">
        <v>1</v>
      </c>
      <c r="J453">
        <v>490.26</v>
      </c>
      <c r="K453">
        <v>0.12</v>
      </c>
      <c r="L453" t="str">
        <f t="shared" si="47"/>
        <v>Card</v>
      </c>
      <c r="M453" t="s">
        <v>16</v>
      </c>
      <c r="N453">
        <v>7</v>
      </c>
      <c r="O453">
        <v>1.1000000000000001</v>
      </c>
      <c r="P453">
        <v>431.43</v>
      </c>
      <c r="Q453">
        <f t="shared" si="43"/>
        <v>431.43</v>
      </c>
      <c r="R453">
        <f t="shared" si="44"/>
        <v>0</v>
      </c>
    </row>
    <row r="454" spans="1:18" x14ac:dyDescent="0.35">
      <c r="A454">
        <v>10453</v>
      </c>
      <c r="B454" t="s">
        <v>295</v>
      </c>
      <c r="C454" s="1">
        <f t="shared" si="42"/>
        <v>45014</v>
      </c>
      <c r="D454">
        <v>1878</v>
      </c>
      <c r="E454" t="s">
        <v>15</v>
      </c>
      <c r="F454" t="str">
        <f t="shared" si="45"/>
        <v>Clothing</v>
      </c>
      <c r="G454" t="s">
        <v>17</v>
      </c>
      <c r="H454" t="str">
        <f t="shared" si="46"/>
        <v>East</v>
      </c>
      <c r="I454">
        <v>1</v>
      </c>
      <c r="J454">
        <v>293.74</v>
      </c>
      <c r="K454">
        <v>0.28999999999999998</v>
      </c>
      <c r="L454" t="str">
        <f t="shared" si="47"/>
        <v>Cod</v>
      </c>
      <c r="M454" t="s">
        <v>18</v>
      </c>
      <c r="N454">
        <v>6</v>
      </c>
      <c r="O454">
        <v>4.8</v>
      </c>
      <c r="P454">
        <v>208.56</v>
      </c>
      <c r="Q454">
        <f t="shared" si="43"/>
        <v>208.56</v>
      </c>
      <c r="R454">
        <f t="shared" si="44"/>
        <v>0</v>
      </c>
    </row>
    <row r="455" spans="1:18" x14ac:dyDescent="0.35">
      <c r="A455">
        <v>10454</v>
      </c>
      <c r="B455" t="s">
        <v>296</v>
      </c>
      <c r="C455" s="1">
        <f t="shared" si="42"/>
        <v>45015</v>
      </c>
      <c r="D455">
        <v>1959</v>
      </c>
      <c r="E455" t="s">
        <v>29</v>
      </c>
      <c r="F455" t="str">
        <f t="shared" si="45"/>
        <v>Home</v>
      </c>
      <c r="G455" t="s">
        <v>20</v>
      </c>
      <c r="H455" t="str">
        <f t="shared" si="46"/>
        <v>West</v>
      </c>
      <c r="I455">
        <v>7</v>
      </c>
      <c r="J455">
        <v>513.85</v>
      </c>
      <c r="K455">
        <v>0.23</v>
      </c>
      <c r="L455" t="str">
        <f t="shared" si="47"/>
        <v>Card</v>
      </c>
      <c r="M455" t="s">
        <v>16</v>
      </c>
      <c r="N455">
        <v>6</v>
      </c>
      <c r="O455">
        <v>3.8</v>
      </c>
      <c r="P455">
        <v>2769.65</v>
      </c>
      <c r="Q455">
        <f t="shared" si="43"/>
        <v>2769.65</v>
      </c>
      <c r="R455">
        <f t="shared" si="44"/>
        <v>0</v>
      </c>
    </row>
    <row r="456" spans="1:18" x14ac:dyDescent="0.35">
      <c r="A456">
        <v>10455</v>
      </c>
      <c r="B456" t="s">
        <v>297</v>
      </c>
      <c r="C456" s="1">
        <f t="shared" si="42"/>
        <v>45016</v>
      </c>
      <c r="D456">
        <v>1480</v>
      </c>
      <c r="E456" t="s">
        <v>19</v>
      </c>
      <c r="F456" t="str">
        <f t="shared" si="45"/>
        <v>Electronics</v>
      </c>
      <c r="G456" t="s">
        <v>13</v>
      </c>
      <c r="H456" t="str">
        <f t="shared" si="46"/>
        <v>South</v>
      </c>
      <c r="I456">
        <v>4</v>
      </c>
      <c r="J456">
        <v>159.58000000000001</v>
      </c>
      <c r="K456">
        <v>0.25</v>
      </c>
      <c r="L456" t="str">
        <f t="shared" si="47"/>
        <v>Wallet</v>
      </c>
      <c r="M456" t="s">
        <v>14</v>
      </c>
      <c r="N456">
        <v>11</v>
      </c>
      <c r="O456">
        <v>1.7</v>
      </c>
      <c r="P456">
        <v>478.74</v>
      </c>
      <c r="Q456">
        <f t="shared" si="43"/>
        <v>478.74</v>
      </c>
      <c r="R456">
        <f t="shared" si="44"/>
        <v>0</v>
      </c>
    </row>
    <row r="457" spans="1:18" x14ac:dyDescent="0.35">
      <c r="A457">
        <v>10456</v>
      </c>
      <c r="B457" s="1">
        <v>44930</v>
      </c>
      <c r="C457" s="1">
        <f t="shared" si="42"/>
        <v>45017</v>
      </c>
      <c r="D457">
        <v>1452</v>
      </c>
      <c r="E457" t="s">
        <v>19</v>
      </c>
      <c r="F457" t="str">
        <f t="shared" si="45"/>
        <v>Electronics</v>
      </c>
      <c r="G457" t="s">
        <v>13</v>
      </c>
      <c r="H457" t="str">
        <f t="shared" si="46"/>
        <v>South</v>
      </c>
      <c r="I457">
        <v>5</v>
      </c>
      <c r="J457">
        <v>25.28</v>
      </c>
      <c r="K457">
        <v>0.22</v>
      </c>
      <c r="L457" t="str">
        <f t="shared" si="47"/>
        <v>Card</v>
      </c>
      <c r="M457" t="s">
        <v>16</v>
      </c>
      <c r="N457">
        <v>3</v>
      </c>
      <c r="O457">
        <v>1.6</v>
      </c>
      <c r="P457">
        <v>98.59</v>
      </c>
      <c r="Q457">
        <f t="shared" si="43"/>
        <v>98.59</v>
      </c>
      <c r="R457">
        <f t="shared" si="44"/>
        <v>0</v>
      </c>
    </row>
    <row r="458" spans="1:18" x14ac:dyDescent="0.35">
      <c r="A458">
        <v>10457</v>
      </c>
      <c r="B458" s="1">
        <v>44961</v>
      </c>
      <c r="C458" s="1">
        <f t="shared" si="42"/>
        <v>45018</v>
      </c>
      <c r="D458">
        <v>1828</v>
      </c>
      <c r="E458" t="s">
        <v>15</v>
      </c>
      <c r="F458" t="str">
        <f t="shared" si="45"/>
        <v>Clothing</v>
      </c>
      <c r="G458" t="s">
        <v>17</v>
      </c>
      <c r="H458" t="str">
        <f t="shared" si="46"/>
        <v>East</v>
      </c>
      <c r="I458">
        <v>2</v>
      </c>
      <c r="J458">
        <v>377.24</v>
      </c>
      <c r="K458">
        <v>0.33</v>
      </c>
      <c r="L458" t="str">
        <f t="shared" si="47"/>
        <v>Cod</v>
      </c>
      <c r="M458" t="s">
        <v>18</v>
      </c>
      <c r="N458">
        <v>10</v>
      </c>
      <c r="O458">
        <v>3.3</v>
      </c>
      <c r="P458">
        <v>505.5</v>
      </c>
      <c r="Q458">
        <f t="shared" si="43"/>
        <v>505.5</v>
      </c>
      <c r="R458">
        <f t="shared" si="44"/>
        <v>0</v>
      </c>
    </row>
    <row r="459" spans="1:18" x14ac:dyDescent="0.35">
      <c r="A459">
        <v>10458</v>
      </c>
      <c r="B459" s="1">
        <v>44989</v>
      </c>
      <c r="C459" s="1">
        <f t="shared" si="42"/>
        <v>45019</v>
      </c>
      <c r="D459">
        <v>1815</v>
      </c>
      <c r="E459" t="s">
        <v>12</v>
      </c>
      <c r="F459" t="str">
        <f t="shared" si="45"/>
        <v>Beauty</v>
      </c>
      <c r="G459" t="s">
        <v>21</v>
      </c>
      <c r="H459" t="str">
        <f t="shared" si="46"/>
        <v>North</v>
      </c>
      <c r="I459">
        <v>6</v>
      </c>
      <c r="J459">
        <v>282.88</v>
      </c>
      <c r="K459">
        <v>7.0000000000000007E-2</v>
      </c>
      <c r="L459" t="str">
        <f t="shared" si="47"/>
        <v>Card</v>
      </c>
      <c r="M459" t="s">
        <v>16</v>
      </c>
      <c r="N459">
        <v>7</v>
      </c>
      <c r="O459">
        <v>3.5</v>
      </c>
      <c r="P459">
        <v>1578.47</v>
      </c>
      <c r="Q459">
        <f t="shared" si="43"/>
        <v>1578.47</v>
      </c>
      <c r="R459">
        <f t="shared" si="44"/>
        <v>0</v>
      </c>
    </row>
    <row r="460" spans="1:18" x14ac:dyDescent="0.35">
      <c r="A460">
        <v>10459</v>
      </c>
      <c r="B460" s="1">
        <v>45020</v>
      </c>
      <c r="C460" s="1">
        <f t="shared" si="42"/>
        <v>45020</v>
      </c>
      <c r="D460">
        <v>1658</v>
      </c>
      <c r="E460" t="s">
        <v>15</v>
      </c>
      <c r="F460" t="str">
        <f t="shared" si="45"/>
        <v>Clothing</v>
      </c>
      <c r="G460" t="s">
        <v>20</v>
      </c>
      <c r="H460" t="str">
        <f t="shared" si="46"/>
        <v>West</v>
      </c>
      <c r="I460">
        <v>4</v>
      </c>
      <c r="J460">
        <v>346.79</v>
      </c>
      <c r="K460">
        <v>0.35</v>
      </c>
      <c r="L460" t="str">
        <f t="shared" si="47"/>
        <v>Cod</v>
      </c>
      <c r="M460" t="s">
        <v>18</v>
      </c>
      <c r="N460">
        <v>6</v>
      </c>
      <c r="O460">
        <v>4.3</v>
      </c>
      <c r="P460">
        <v>901.65</v>
      </c>
      <c r="Q460">
        <f t="shared" si="43"/>
        <v>901.65</v>
      </c>
      <c r="R460">
        <f t="shared" si="44"/>
        <v>0</v>
      </c>
    </row>
    <row r="461" spans="1:18" x14ac:dyDescent="0.35">
      <c r="A461">
        <v>10460</v>
      </c>
      <c r="B461" s="1">
        <v>45050</v>
      </c>
      <c r="C461" s="1">
        <f t="shared" si="42"/>
        <v>45021</v>
      </c>
      <c r="D461">
        <v>1515</v>
      </c>
      <c r="E461" t="s">
        <v>29</v>
      </c>
      <c r="F461" t="str">
        <f t="shared" si="45"/>
        <v>Home</v>
      </c>
      <c r="G461" t="s">
        <v>17</v>
      </c>
      <c r="H461" t="str">
        <f t="shared" si="46"/>
        <v>East</v>
      </c>
      <c r="I461">
        <v>2</v>
      </c>
      <c r="J461">
        <v>541.11</v>
      </c>
      <c r="K461">
        <v>0.28999999999999998</v>
      </c>
      <c r="L461" t="str">
        <f t="shared" si="47"/>
        <v>Card</v>
      </c>
      <c r="M461" t="s">
        <v>16</v>
      </c>
      <c r="N461">
        <v>10</v>
      </c>
      <c r="O461">
        <v>4.5999999999999996</v>
      </c>
      <c r="P461">
        <v>768.38</v>
      </c>
      <c r="Q461">
        <f t="shared" si="43"/>
        <v>768.38</v>
      </c>
      <c r="R461">
        <f t="shared" si="44"/>
        <v>0</v>
      </c>
    </row>
    <row r="462" spans="1:18" x14ac:dyDescent="0.35">
      <c r="A462">
        <v>10461</v>
      </c>
      <c r="B462" s="1">
        <v>45081</v>
      </c>
      <c r="C462" s="1">
        <f t="shared" si="42"/>
        <v>45022</v>
      </c>
      <c r="D462">
        <v>1546</v>
      </c>
      <c r="E462" t="s">
        <v>15</v>
      </c>
      <c r="F462" t="str">
        <f t="shared" si="45"/>
        <v>Clothing</v>
      </c>
      <c r="G462" t="s">
        <v>13</v>
      </c>
      <c r="H462" t="str">
        <f t="shared" si="46"/>
        <v>South</v>
      </c>
      <c r="I462">
        <v>5</v>
      </c>
      <c r="J462">
        <v>582.41</v>
      </c>
      <c r="K462">
        <v>0.21</v>
      </c>
      <c r="L462" t="str">
        <f t="shared" si="47"/>
        <v>Cod</v>
      </c>
      <c r="M462" t="s">
        <v>18</v>
      </c>
      <c r="N462">
        <v>10</v>
      </c>
      <c r="O462">
        <v>2.6</v>
      </c>
      <c r="P462">
        <v>2300.52</v>
      </c>
      <c r="Q462">
        <f t="shared" si="43"/>
        <v>2300.52</v>
      </c>
      <c r="R462">
        <f t="shared" si="44"/>
        <v>0</v>
      </c>
    </row>
    <row r="463" spans="1:18" x14ac:dyDescent="0.35">
      <c r="A463">
        <v>10462</v>
      </c>
      <c r="B463" s="1">
        <v>45111</v>
      </c>
      <c r="C463" s="1">
        <f t="shared" si="42"/>
        <v>45023</v>
      </c>
      <c r="D463">
        <v>1191</v>
      </c>
      <c r="E463" t="s">
        <v>19</v>
      </c>
      <c r="F463" t="str">
        <f t="shared" si="45"/>
        <v>Electronics</v>
      </c>
      <c r="G463" t="s">
        <v>21</v>
      </c>
      <c r="H463" t="str">
        <f t="shared" si="46"/>
        <v>North</v>
      </c>
      <c r="I463">
        <v>6</v>
      </c>
      <c r="J463">
        <v>386.16</v>
      </c>
      <c r="K463">
        <v>0.23</v>
      </c>
      <c r="L463" t="str">
        <f t="shared" si="47"/>
        <v>Cod</v>
      </c>
      <c r="M463" t="s">
        <v>18</v>
      </c>
      <c r="N463">
        <v>9</v>
      </c>
      <c r="O463">
        <v>4.4000000000000004</v>
      </c>
      <c r="P463">
        <v>1784.06</v>
      </c>
      <c r="Q463">
        <f t="shared" si="43"/>
        <v>1784.06</v>
      </c>
      <c r="R463">
        <f t="shared" si="44"/>
        <v>0</v>
      </c>
    </row>
    <row r="464" spans="1:18" x14ac:dyDescent="0.35">
      <c r="A464">
        <v>10463</v>
      </c>
      <c r="B464" s="1">
        <v>45142</v>
      </c>
      <c r="C464" s="1">
        <f t="shared" si="42"/>
        <v>45024</v>
      </c>
      <c r="D464">
        <v>1048</v>
      </c>
      <c r="E464" t="s">
        <v>15</v>
      </c>
      <c r="F464" t="str">
        <f t="shared" si="45"/>
        <v>Clothing</v>
      </c>
      <c r="G464" t="s">
        <v>20</v>
      </c>
      <c r="H464" t="str">
        <f t="shared" si="46"/>
        <v>West</v>
      </c>
      <c r="I464">
        <v>2</v>
      </c>
      <c r="J464">
        <v>461.97</v>
      </c>
      <c r="K464">
        <v>0.23</v>
      </c>
      <c r="L464" t="str">
        <f t="shared" si="47"/>
        <v>Card</v>
      </c>
      <c r="M464" t="s">
        <v>16</v>
      </c>
      <c r="N464">
        <v>3</v>
      </c>
      <c r="O464">
        <v>3.2</v>
      </c>
      <c r="P464">
        <v>711.43</v>
      </c>
      <c r="Q464">
        <f t="shared" si="43"/>
        <v>711.43</v>
      </c>
      <c r="R464">
        <f t="shared" si="44"/>
        <v>0</v>
      </c>
    </row>
    <row r="465" spans="1:18" x14ac:dyDescent="0.35">
      <c r="A465">
        <v>10464</v>
      </c>
      <c r="B465" s="1">
        <v>45173</v>
      </c>
      <c r="C465" s="1">
        <f t="shared" si="42"/>
        <v>45025</v>
      </c>
      <c r="D465">
        <v>1511</v>
      </c>
      <c r="E465" t="s">
        <v>29</v>
      </c>
      <c r="F465" t="str">
        <f t="shared" si="45"/>
        <v>Home</v>
      </c>
      <c r="G465" t="s">
        <v>17</v>
      </c>
      <c r="H465" t="str">
        <f t="shared" si="46"/>
        <v>East</v>
      </c>
      <c r="I465">
        <v>3</v>
      </c>
      <c r="J465">
        <v>64.03</v>
      </c>
      <c r="K465">
        <v>0.02</v>
      </c>
      <c r="L465" t="str">
        <f t="shared" si="47"/>
        <v>Wallet</v>
      </c>
      <c r="M465" t="s">
        <v>14</v>
      </c>
      <c r="N465">
        <v>3</v>
      </c>
      <c r="O465">
        <v>2.9</v>
      </c>
      <c r="P465">
        <v>188.25</v>
      </c>
      <c r="Q465">
        <f t="shared" si="43"/>
        <v>188.25</v>
      </c>
      <c r="R465">
        <f t="shared" si="44"/>
        <v>0</v>
      </c>
    </row>
    <row r="466" spans="1:18" x14ac:dyDescent="0.35">
      <c r="A466">
        <v>10465</v>
      </c>
      <c r="B466" s="1">
        <v>45203</v>
      </c>
      <c r="C466" s="1">
        <f t="shared" si="42"/>
        <v>45026</v>
      </c>
      <c r="D466">
        <v>1016</v>
      </c>
      <c r="E466" t="s">
        <v>19</v>
      </c>
      <c r="F466" t="str">
        <f t="shared" si="45"/>
        <v>Electronics</v>
      </c>
      <c r="G466" t="s">
        <v>20</v>
      </c>
      <c r="H466" t="str">
        <f t="shared" si="46"/>
        <v>West</v>
      </c>
      <c r="I466">
        <v>7</v>
      </c>
      <c r="J466">
        <v>109.02</v>
      </c>
      <c r="K466">
        <v>0.08</v>
      </c>
      <c r="L466" t="str">
        <f t="shared" si="47"/>
        <v>Cod</v>
      </c>
      <c r="M466" t="s">
        <v>18</v>
      </c>
      <c r="N466">
        <v>4</v>
      </c>
      <c r="O466">
        <v>3.8</v>
      </c>
      <c r="P466">
        <v>702.09</v>
      </c>
      <c r="Q466">
        <f t="shared" si="43"/>
        <v>702.09</v>
      </c>
      <c r="R466">
        <f t="shared" si="44"/>
        <v>0</v>
      </c>
    </row>
    <row r="467" spans="1:18" x14ac:dyDescent="0.35">
      <c r="A467">
        <v>10466</v>
      </c>
      <c r="B467" s="1">
        <v>45234</v>
      </c>
      <c r="C467" s="1">
        <f t="shared" si="42"/>
        <v>45027</v>
      </c>
      <c r="D467">
        <v>1171</v>
      </c>
      <c r="E467" t="s">
        <v>19</v>
      </c>
      <c r="F467" t="str">
        <f t="shared" si="45"/>
        <v>Electronics</v>
      </c>
      <c r="G467" t="s">
        <v>21</v>
      </c>
      <c r="H467" t="str">
        <f t="shared" si="46"/>
        <v>North</v>
      </c>
      <c r="I467">
        <v>4</v>
      </c>
      <c r="J467">
        <v>443.92</v>
      </c>
      <c r="K467">
        <v>0.34</v>
      </c>
      <c r="L467" t="str">
        <f t="shared" si="47"/>
        <v>Wallet</v>
      </c>
      <c r="M467" t="s">
        <v>14</v>
      </c>
      <c r="N467">
        <v>3</v>
      </c>
      <c r="O467">
        <v>1.4</v>
      </c>
      <c r="P467">
        <v>1171.95</v>
      </c>
      <c r="Q467">
        <f t="shared" si="43"/>
        <v>1171.95</v>
      </c>
      <c r="R467">
        <f t="shared" si="44"/>
        <v>0</v>
      </c>
    </row>
    <row r="468" spans="1:18" x14ac:dyDescent="0.35">
      <c r="A468">
        <v>10467</v>
      </c>
      <c r="B468" s="1">
        <v>45264</v>
      </c>
      <c r="C468" s="1">
        <f t="shared" si="42"/>
        <v>45028</v>
      </c>
      <c r="D468">
        <v>1219</v>
      </c>
      <c r="E468" t="s">
        <v>19</v>
      </c>
      <c r="F468" t="str">
        <f t="shared" si="45"/>
        <v>Electronics</v>
      </c>
      <c r="G468" t="s">
        <v>21</v>
      </c>
      <c r="H468" t="str">
        <f t="shared" si="46"/>
        <v>North</v>
      </c>
      <c r="I468">
        <v>7</v>
      </c>
      <c r="J468">
        <v>267.35000000000002</v>
      </c>
      <c r="K468">
        <v>0.19</v>
      </c>
      <c r="L468" t="str">
        <f t="shared" si="47"/>
        <v>Wallet</v>
      </c>
      <c r="M468" t="s">
        <v>14</v>
      </c>
      <c r="N468">
        <v>4</v>
      </c>
      <c r="O468">
        <v>2.1</v>
      </c>
      <c r="P468">
        <v>1515.87</v>
      </c>
      <c r="Q468">
        <f t="shared" si="43"/>
        <v>1515.87</v>
      </c>
      <c r="R468">
        <f t="shared" si="44"/>
        <v>0</v>
      </c>
    </row>
    <row r="469" spans="1:18" x14ac:dyDescent="0.35">
      <c r="A469">
        <v>10468</v>
      </c>
      <c r="B469" t="s">
        <v>298</v>
      </c>
      <c r="C469" s="1">
        <f t="shared" si="42"/>
        <v>45029</v>
      </c>
      <c r="D469">
        <v>1157</v>
      </c>
      <c r="E469" t="s">
        <v>15</v>
      </c>
      <c r="F469" t="str">
        <f t="shared" si="45"/>
        <v>Clothing</v>
      </c>
      <c r="G469" t="s">
        <v>13</v>
      </c>
      <c r="H469" t="str">
        <f t="shared" si="46"/>
        <v>South</v>
      </c>
      <c r="I469">
        <v>1</v>
      </c>
      <c r="J469">
        <v>275.89</v>
      </c>
      <c r="K469">
        <v>0.13</v>
      </c>
      <c r="L469" t="str">
        <f t="shared" si="47"/>
        <v>Wallet</v>
      </c>
      <c r="M469" t="s">
        <v>14</v>
      </c>
      <c r="N469">
        <v>6</v>
      </c>
      <c r="O469">
        <v>4.3</v>
      </c>
      <c r="P469">
        <v>240.02</v>
      </c>
      <c r="Q469">
        <f t="shared" si="43"/>
        <v>240.02</v>
      </c>
      <c r="R469">
        <f t="shared" si="44"/>
        <v>0</v>
      </c>
    </row>
    <row r="470" spans="1:18" x14ac:dyDescent="0.35">
      <c r="A470">
        <v>10469</v>
      </c>
      <c r="B470" t="s">
        <v>299</v>
      </c>
      <c r="C470" s="1">
        <f t="shared" si="42"/>
        <v>45030</v>
      </c>
      <c r="D470">
        <v>1476</v>
      </c>
      <c r="E470" t="s">
        <v>12</v>
      </c>
      <c r="F470" t="str">
        <f t="shared" si="45"/>
        <v>Beauty</v>
      </c>
      <c r="G470" t="s">
        <v>21</v>
      </c>
      <c r="H470" t="str">
        <f t="shared" si="46"/>
        <v>North</v>
      </c>
      <c r="I470">
        <v>2</v>
      </c>
      <c r="J470">
        <v>195.54</v>
      </c>
      <c r="K470">
        <v>0.27</v>
      </c>
      <c r="L470" t="str">
        <f t="shared" si="47"/>
        <v>Card</v>
      </c>
      <c r="M470" t="s">
        <v>16</v>
      </c>
      <c r="N470">
        <v>1</v>
      </c>
      <c r="O470">
        <v>3</v>
      </c>
      <c r="P470">
        <v>285.49</v>
      </c>
      <c r="Q470">
        <f t="shared" si="43"/>
        <v>285.49</v>
      </c>
      <c r="R470">
        <f t="shared" si="44"/>
        <v>0</v>
      </c>
    </row>
    <row r="471" spans="1:18" x14ac:dyDescent="0.35">
      <c r="A471">
        <v>10470</v>
      </c>
      <c r="B471" t="s">
        <v>300</v>
      </c>
      <c r="C471" s="1">
        <f t="shared" si="42"/>
        <v>45031</v>
      </c>
      <c r="D471">
        <v>1045</v>
      </c>
      <c r="E471" t="s">
        <v>19</v>
      </c>
      <c r="F471" t="str">
        <f t="shared" si="45"/>
        <v>Electronics</v>
      </c>
      <c r="G471" t="s">
        <v>17</v>
      </c>
      <c r="H471" t="str">
        <f t="shared" si="46"/>
        <v>East</v>
      </c>
      <c r="I471">
        <v>6</v>
      </c>
      <c r="J471">
        <v>370.3</v>
      </c>
      <c r="K471">
        <v>0.18</v>
      </c>
      <c r="L471" t="str">
        <f t="shared" si="47"/>
        <v>Card</v>
      </c>
      <c r="M471" t="s">
        <v>16</v>
      </c>
      <c r="N471">
        <v>2</v>
      </c>
      <c r="O471">
        <v>4.5999999999999996</v>
      </c>
      <c r="P471">
        <v>1821.88</v>
      </c>
      <c r="Q471">
        <f t="shared" si="43"/>
        <v>1821.88</v>
      </c>
      <c r="R471">
        <f t="shared" si="44"/>
        <v>0</v>
      </c>
    </row>
    <row r="472" spans="1:18" x14ac:dyDescent="0.35">
      <c r="A472">
        <v>10471</v>
      </c>
      <c r="B472" t="s">
        <v>301</v>
      </c>
      <c r="C472" s="1">
        <f t="shared" si="42"/>
        <v>45032</v>
      </c>
      <c r="D472">
        <v>1372</v>
      </c>
      <c r="E472" t="s">
        <v>15</v>
      </c>
      <c r="F472" t="str">
        <f t="shared" si="45"/>
        <v>Clothing</v>
      </c>
      <c r="G472" t="s">
        <v>20</v>
      </c>
      <c r="H472" t="str">
        <f t="shared" si="46"/>
        <v>West</v>
      </c>
      <c r="I472">
        <v>6</v>
      </c>
      <c r="J472">
        <v>123.32</v>
      </c>
      <c r="K472">
        <v>0</v>
      </c>
      <c r="L472" t="str">
        <f t="shared" si="47"/>
        <v>Wallet</v>
      </c>
      <c r="M472" t="s">
        <v>14</v>
      </c>
      <c r="N472">
        <v>10</v>
      </c>
      <c r="O472">
        <v>1.4</v>
      </c>
      <c r="P472">
        <v>739.92</v>
      </c>
      <c r="Q472">
        <f t="shared" si="43"/>
        <v>739.92</v>
      </c>
      <c r="R472">
        <f t="shared" si="44"/>
        <v>0</v>
      </c>
    </row>
    <row r="473" spans="1:18" x14ac:dyDescent="0.35">
      <c r="A473">
        <v>10472</v>
      </c>
      <c r="B473" t="s">
        <v>302</v>
      </c>
      <c r="C473" s="1">
        <f t="shared" si="42"/>
        <v>45033</v>
      </c>
      <c r="D473">
        <v>1517</v>
      </c>
      <c r="E473" t="s">
        <v>19</v>
      </c>
      <c r="F473" t="str">
        <f t="shared" si="45"/>
        <v>Electronics</v>
      </c>
      <c r="G473" t="s">
        <v>21</v>
      </c>
      <c r="H473" t="str">
        <f t="shared" si="46"/>
        <v>North</v>
      </c>
      <c r="I473">
        <v>4</v>
      </c>
      <c r="J473">
        <v>381.75</v>
      </c>
      <c r="K473">
        <v>0.26</v>
      </c>
      <c r="L473" t="str">
        <f t="shared" si="47"/>
        <v>Cod</v>
      </c>
      <c r="M473" t="s">
        <v>18</v>
      </c>
      <c r="N473">
        <v>6</v>
      </c>
      <c r="O473">
        <v>2.2999999999999998</v>
      </c>
      <c r="P473">
        <v>1129.98</v>
      </c>
      <c r="Q473">
        <f t="shared" si="43"/>
        <v>1129.98</v>
      </c>
      <c r="R473">
        <f t="shared" si="44"/>
        <v>0</v>
      </c>
    </row>
    <row r="474" spans="1:18" x14ac:dyDescent="0.35">
      <c r="A474">
        <v>10473</v>
      </c>
      <c r="B474" t="s">
        <v>303</v>
      </c>
      <c r="C474" s="1">
        <f t="shared" si="42"/>
        <v>45034</v>
      </c>
      <c r="D474">
        <v>1098</v>
      </c>
      <c r="E474" t="s">
        <v>12</v>
      </c>
      <c r="F474" t="str">
        <f t="shared" si="45"/>
        <v>Beauty</v>
      </c>
      <c r="G474" t="s">
        <v>21</v>
      </c>
      <c r="H474" t="str">
        <f t="shared" si="46"/>
        <v>North</v>
      </c>
      <c r="I474">
        <v>4</v>
      </c>
      <c r="J474">
        <v>116.67</v>
      </c>
      <c r="K474">
        <v>0.26</v>
      </c>
      <c r="L474" t="str">
        <f t="shared" si="47"/>
        <v>Card</v>
      </c>
      <c r="M474" t="s">
        <v>16</v>
      </c>
      <c r="N474">
        <v>6</v>
      </c>
      <c r="O474">
        <v>2.4</v>
      </c>
      <c r="P474">
        <v>345.34</v>
      </c>
      <c r="Q474">
        <f t="shared" si="43"/>
        <v>345.34</v>
      </c>
      <c r="R474">
        <f t="shared" si="44"/>
        <v>0</v>
      </c>
    </row>
    <row r="475" spans="1:18" x14ac:dyDescent="0.35">
      <c r="A475">
        <v>10474</v>
      </c>
      <c r="B475" t="s">
        <v>304</v>
      </c>
      <c r="C475" s="1">
        <f t="shared" si="42"/>
        <v>45035</v>
      </c>
      <c r="D475">
        <v>1891</v>
      </c>
      <c r="E475" t="s">
        <v>19</v>
      </c>
      <c r="F475" t="str">
        <f t="shared" si="45"/>
        <v>Electronics</v>
      </c>
      <c r="G475" t="s">
        <v>17</v>
      </c>
      <c r="H475" t="str">
        <f t="shared" si="46"/>
        <v>East</v>
      </c>
      <c r="I475">
        <v>7</v>
      </c>
      <c r="J475">
        <v>52.34</v>
      </c>
      <c r="K475">
        <v>0.06</v>
      </c>
      <c r="L475" t="str">
        <f t="shared" si="47"/>
        <v>Cod</v>
      </c>
      <c r="M475" t="s">
        <v>18</v>
      </c>
      <c r="N475">
        <v>1</v>
      </c>
      <c r="O475">
        <v>2.7</v>
      </c>
      <c r="P475">
        <v>344.4</v>
      </c>
      <c r="Q475">
        <f t="shared" si="43"/>
        <v>344.4</v>
      </c>
      <c r="R475">
        <f t="shared" si="44"/>
        <v>0</v>
      </c>
    </row>
    <row r="476" spans="1:18" x14ac:dyDescent="0.35">
      <c r="A476">
        <v>10475</v>
      </c>
      <c r="B476" t="s">
        <v>305</v>
      </c>
      <c r="C476" s="1">
        <f t="shared" si="42"/>
        <v>45036</v>
      </c>
      <c r="D476">
        <v>1744</v>
      </c>
      <c r="E476" t="s">
        <v>15</v>
      </c>
      <c r="F476" t="str">
        <f t="shared" si="45"/>
        <v>Clothing</v>
      </c>
      <c r="G476" t="s">
        <v>20</v>
      </c>
      <c r="H476" t="str">
        <f t="shared" si="46"/>
        <v>West</v>
      </c>
      <c r="I476">
        <v>6</v>
      </c>
      <c r="J476">
        <v>208.26</v>
      </c>
      <c r="K476">
        <v>0.33</v>
      </c>
      <c r="L476" t="str">
        <f t="shared" si="47"/>
        <v>Card</v>
      </c>
      <c r="M476" t="s">
        <v>16</v>
      </c>
      <c r="N476">
        <v>6</v>
      </c>
      <c r="O476">
        <v>4.9000000000000004</v>
      </c>
      <c r="P476">
        <v>837.21</v>
      </c>
      <c r="Q476">
        <f t="shared" si="43"/>
        <v>837.21</v>
      </c>
      <c r="R476">
        <f t="shared" si="44"/>
        <v>0</v>
      </c>
    </row>
    <row r="477" spans="1:18" x14ac:dyDescent="0.35">
      <c r="A477">
        <v>10476</v>
      </c>
      <c r="B477" t="s">
        <v>306</v>
      </c>
      <c r="C477" s="1">
        <f t="shared" si="42"/>
        <v>45037</v>
      </c>
      <c r="D477">
        <v>1036</v>
      </c>
      <c r="E477" t="s">
        <v>29</v>
      </c>
      <c r="F477" t="str">
        <f t="shared" si="45"/>
        <v>Home</v>
      </c>
      <c r="G477" t="s">
        <v>20</v>
      </c>
      <c r="H477" t="str">
        <f t="shared" si="46"/>
        <v>West</v>
      </c>
      <c r="I477">
        <v>6</v>
      </c>
      <c r="J477">
        <v>150.22</v>
      </c>
      <c r="K477">
        <v>0.08</v>
      </c>
      <c r="L477" t="str">
        <f t="shared" si="47"/>
        <v>Cod</v>
      </c>
      <c r="M477" t="s">
        <v>18</v>
      </c>
      <c r="N477">
        <v>11</v>
      </c>
      <c r="O477">
        <v>2.2000000000000002</v>
      </c>
      <c r="P477">
        <v>829.21</v>
      </c>
      <c r="Q477">
        <f t="shared" si="43"/>
        <v>829.21</v>
      </c>
      <c r="R477">
        <f t="shared" si="44"/>
        <v>0</v>
      </c>
    </row>
    <row r="478" spans="1:18" x14ac:dyDescent="0.35">
      <c r="A478">
        <v>10477</v>
      </c>
      <c r="B478" t="s">
        <v>307</v>
      </c>
      <c r="C478" s="1">
        <f t="shared" si="42"/>
        <v>45038</v>
      </c>
      <c r="D478">
        <v>1279</v>
      </c>
      <c r="E478" t="s">
        <v>29</v>
      </c>
      <c r="F478" t="str">
        <f t="shared" si="45"/>
        <v>Home</v>
      </c>
      <c r="G478" t="s">
        <v>13</v>
      </c>
      <c r="H478" t="str">
        <f t="shared" si="46"/>
        <v>South</v>
      </c>
      <c r="I478">
        <v>6</v>
      </c>
      <c r="J478">
        <v>535.05999999999995</v>
      </c>
      <c r="K478">
        <v>0.16</v>
      </c>
      <c r="L478" t="str">
        <f t="shared" si="47"/>
        <v>Wallet</v>
      </c>
      <c r="M478" t="s">
        <v>14</v>
      </c>
      <c r="N478">
        <v>9</v>
      </c>
      <c r="O478">
        <v>3.1</v>
      </c>
      <c r="P478">
        <v>2696.7</v>
      </c>
      <c r="Q478">
        <f t="shared" si="43"/>
        <v>2696.7</v>
      </c>
      <c r="R478">
        <f t="shared" si="44"/>
        <v>0</v>
      </c>
    </row>
    <row r="479" spans="1:18" x14ac:dyDescent="0.35">
      <c r="A479">
        <v>10478</v>
      </c>
      <c r="B479" t="s">
        <v>308</v>
      </c>
      <c r="C479" s="1">
        <f t="shared" si="42"/>
        <v>45039</v>
      </c>
      <c r="D479">
        <v>1348</v>
      </c>
      <c r="E479" t="s">
        <v>15</v>
      </c>
      <c r="F479" t="str">
        <f t="shared" si="45"/>
        <v>Clothing</v>
      </c>
      <c r="G479" t="s">
        <v>13</v>
      </c>
      <c r="H479" t="str">
        <f t="shared" si="46"/>
        <v>South</v>
      </c>
      <c r="I479">
        <v>2</v>
      </c>
      <c r="J479">
        <v>47.15</v>
      </c>
      <c r="K479">
        <v>0.04</v>
      </c>
      <c r="L479" t="str">
        <f t="shared" si="47"/>
        <v>Cod</v>
      </c>
      <c r="M479" t="s">
        <v>18</v>
      </c>
      <c r="N479">
        <v>8</v>
      </c>
      <c r="O479">
        <v>3.1</v>
      </c>
      <c r="P479">
        <v>90.53</v>
      </c>
      <c r="Q479">
        <f t="shared" si="43"/>
        <v>90.53</v>
      </c>
      <c r="R479">
        <f t="shared" si="44"/>
        <v>0</v>
      </c>
    </row>
    <row r="480" spans="1:18" x14ac:dyDescent="0.35">
      <c r="A480">
        <v>10479</v>
      </c>
      <c r="B480" t="s">
        <v>309</v>
      </c>
      <c r="C480" s="1">
        <f t="shared" si="42"/>
        <v>45040</v>
      </c>
      <c r="D480">
        <v>1496</v>
      </c>
      <c r="E480" t="s">
        <v>19</v>
      </c>
      <c r="F480" t="str">
        <f t="shared" si="45"/>
        <v>Electronics</v>
      </c>
      <c r="G480" t="s">
        <v>20</v>
      </c>
      <c r="H480" t="str">
        <f t="shared" si="46"/>
        <v>West</v>
      </c>
      <c r="I480">
        <v>6</v>
      </c>
      <c r="J480">
        <v>118.32</v>
      </c>
      <c r="K480">
        <v>0.21</v>
      </c>
      <c r="L480" t="str">
        <f t="shared" si="47"/>
        <v>Card</v>
      </c>
      <c r="M480" t="s">
        <v>16</v>
      </c>
      <c r="N480">
        <v>10</v>
      </c>
      <c r="O480">
        <v>4.0999999999999996</v>
      </c>
      <c r="P480">
        <v>560.84</v>
      </c>
      <c r="Q480">
        <f t="shared" si="43"/>
        <v>560.84</v>
      </c>
      <c r="R480">
        <f t="shared" si="44"/>
        <v>0</v>
      </c>
    </row>
    <row r="481" spans="1:18" x14ac:dyDescent="0.35">
      <c r="A481">
        <v>10480</v>
      </c>
      <c r="B481" t="s">
        <v>310</v>
      </c>
      <c r="C481" s="1">
        <f t="shared" si="42"/>
        <v>45041</v>
      </c>
      <c r="D481">
        <v>1301</v>
      </c>
      <c r="E481" t="s">
        <v>15</v>
      </c>
      <c r="F481" t="str">
        <f t="shared" si="45"/>
        <v>Clothing</v>
      </c>
      <c r="G481" t="s">
        <v>17</v>
      </c>
      <c r="H481" t="str">
        <f t="shared" si="46"/>
        <v>East</v>
      </c>
      <c r="I481">
        <v>1</v>
      </c>
      <c r="J481">
        <v>336</v>
      </c>
      <c r="K481">
        <v>0.13</v>
      </c>
      <c r="L481" t="str">
        <f t="shared" si="47"/>
        <v>Card</v>
      </c>
      <c r="M481" t="s">
        <v>16</v>
      </c>
      <c r="N481">
        <v>5</v>
      </c>
      <c r="O481">
        <v>3.1</v>
      </c>
      <c r="P481">
        <v>292.32</v>
      </c>
      <c r="Q481">
        <f t="shared" si="43"/>
        <v>292.32</v>
      </c>
      <c r="R481">
        <f t="shared" si="44"/>
        <v>0</v>
      </c>
    </row>
    <row r="482" spans="1:18" x14ac:dyDescent="0.35">
      <c r="A482">
        <v>10481</v>
      </c>
      <c r="B482" t="s">
        <v>311</v>
      </c>
      <c r="C482" s="1">
        <f t="shared" si="42"/>
        <v>45042</v>
      </c>
      <c r="D482">
        <v>1180</v>
      </c>
      <c r="E482" t="s">
        <v>19</v>
      </c>
      <c r="F482" t="str">
        <f t="shared" si="45"/>
        <v>Electronics</v>
      </c>
      <c r="G482" t="s">
        <v>17</v>
      </c>
      <c r="H482" t="str">
        <f t="shared" si="46"/>
        <v>East</v>
      </c>
      <c r="I482">
        <v>6</v>
      </c>
      <c r="J482">
        <v>296.42</v>
      </c>
      <c r="K482">
        <v>0.12</v>
      </c>
      <c r="L482" t="str">
        <f t="shared" si="47"/>
        <v>Card</v>
      </c>
      <c r="M482" t="s">
        <v>16</v>
      </c>
      <c r="N482">
        <v>4</v>
      </c>
      <c r="O482">
        <v>3.4</v>
      </c>
      <c r="P482">
        <v>1565.1</v>
      </c>
      <c r="Q482">
        <f t="shared" si="43"/>
        <v>1565.1</v>
      </c>
      <c r="R482">
        <f t="shared" si="44"/>
        <v>0</v>
      </c>
    </row>
    <row r="483" spans="1:18" x14ac:dyDescent="0.35">
      <c r="A483">
        <v>10482</v>
      </c>
      <c r="B483" t="s">
        <v>312</v>
      </c>
      <c r="C483" s="1">
        <f t="shared" si="42"/>
        <v>45043</v>
      </c>
      <c r="D483">
        <v>1606</v>
      </c>
      <c r="E483" t="s">
        <v>19</v>
      </c>
      <c r="F483" t="str">
        <f t="shared" si="45"/>
        <v>Electronics</v>
      </c>
      <c r="G483" t="s">
        <v>13</v>
      </c>
      <c r="H483" t="str">
        <f t="shared" si="46"/>
        <v>South</v>
      </c>
      <c r="I483">
        <v>1</v>
      </c>
      <c r="J483">
        <v>41.82</v>
      </c>
      <c r="K483">
        <v>0.28999999999999998</v>
      </c>
      <c r="L483" t="str">
        <f t="shared" si="47"/>
        <v>Cod</v>
      </c>
      <c r="M483" t="s">
        <v>18</v>
      </c>
      <c r="N483">
        <v>6</v>
      </c>
      <c r="O483">
        <v>4</v>
      </c>
      <c r="P483">
        <v>29.69</v>
      </c>
      <c r="Q483">
        <f t="shared" si="43"/>
        <v>29.69</v>
      </c>
      <c r="R483">
        <f t="shared" si="44"/>
        <v>0</v>
      </c>
    </row>
    <row r="484" spans="1:18" x14ac:dyDescent="0.35">
      <c r="A484">
        <v>10483</v>
      </c>
      <c r="B484" t="s">
        <v>313</v>
      </c>
      <c r="C484" s="1">
        <f t="shared" si="42"/>
        <v>45044</v>
      </c>
      <c r="D484">
        <v>1098</v>
      </c>
      <c r="E484" t="s">
        <v>15</v>
      </c>
      <c r="F484" t="str">
        <f t="shared" si="45"/>
        <v>Clothing</v>
      </c>
      <c r="G484" t="s">
        <v>21</v>
      </c>
      <c r="H484" t="str">
        <f t="shared" si="46"/>
        <v>North</v>
      </c>
      <c r="I484">
        <v>2</v>
      </c>
      <c r="J484">
        <v>19.239999999999998</v>
      </c>
      <c r="K484">
        <v>0</v>
      </c>
      <c r="L484" t="str">
        <f t="shared" si="47"/>
        <v>Card</v>
      </c>
      <c r="M484" t="s">
        <v>16</v>
      </c>
      <c r="N484">
        <v>11</v>
      </c>
      <c r="O484">
        <v>1.4</v>
      </c>
      <c r="P484">
        <v>38.479999999999997</v>
      </c>
      <c r="Q484">
        <f t="shared" si="43"/>
        <v>38.479999999999997</v>
      </c>
      <c r="R484">
        <f t="shared" si="44"/>
        <v>0</v>
      </c>
    </row>
    <row r="485" spans="1:18" x14ac:dyDescent="0.35">
      <c r="A485">
        <v>10484</v>
      </c>
      <c r="B485" t="s">
        <v>314</v>
      </c>
      <c r="C485" s="1">
        <f t="shared" si="42"/>
        <v>45045</v>
      </c>
      <c r="D485">
        <v>1699</v>
      </c>
      <c r="E485" t="s">
        <v>19</v>
      </c>
      <c r="F485" t="str">
        <f t="shared" si="45"/>
        <v>Electronics</v>
      </c>
      <c r="G485" t="s">
        <v>17</v>
      </c>
      <c r="H485" t="str">
        <f t="shared" si="46"/>
        <v>East</v>
      </c>
      <c r="I485">
        <v>4</v>
      </c>
      <c r="J485">
        <v>593.02</v>
      </c>
      <c r="K485">
        <v>0.28000000000000003</v>
      </c>
      <c r="L485" t="str">
        <f t="shared" si="47"/>
        <v>Cod</v>
      </c>
      <c r="M485" t="s">
        <v>18</v>
      </c>
      <c r="N485">
        <v>5</v>
      </c>
      <c r="O485">
        <v>4.9000000000000004</v>
      </c>
      <c r="P485">
        <v>1707.9</v>
      </c>
      <c r="Q485">
        <f t="shared" si="43"/>
        <v>1707.9</v>
      </c>
      <c r="R485">
        <f t="shared" si="44"/>
        <v>0</v>
      </c>
    </row>
    <row r="486" spans="1:18" x14ac:dyDescent="0.35">
      <c r="A486">
        <v>10485</v>
      </c>
      <c r="B486" t="s">
        <v>315</v>
      </c>
      <c r="C486" s="1">
        <f t="shared" si="42"/>
        <v>45046</v>
      </c>
      <c r="D486">
        <v>1992</v>
      </c>
      <c r="E486" t="s">
        <v>19</v>
      </c>
      <c r="F486" t="str">
        <f t="shared" si="45"/>
        <v>Electronics</v>
      </c>
      <c r="G486" t="s">
        <v>21</v>
      </c>
      <c r="H486" t="str">
        <f t="shared" si="46"/>
        <v>North</v>
      </c>
      <c r="I486">
        <v>1</v>
      </c>
      <c r="J486">
        <v>400.42</v>
      </c>
      <c r="K486">
        <v>0.2</v>
      </c>
      <c r="L486" t="str">
        <f t="shared" si="47"/>
        <v>Cod</v>
      </c>
      <c r="M486" t="s">
        <v>18</v>
      </c>
      <c r="N486">
        <v>6</v>
      </c>
      <c r="O486">
        <v>4.4000000000000004</v>
      </c>
      <c r="P486">
        <v>320.33999999999997</v>
      </c>
      <c r="Q486">
        <f t="shared" si="43"/>
        <v>320.33999999999997</v>
      </c>
      <c r="R486">
        <f t="shared" si="44"/>
        <v>0</v>
      </c>
    </row>
    <row r="487" spans="1:18" x14ac:dyDescent="0.35">
      <c r="A487">
        <v>10486</v>
      </c>
      <c r="B487" s="1">
        <v>44931</v>
      </c>
      <c r="C487" s="1">
        <f t="shared" si="42"/>
        <v>45047</v>
      </c>
      <c r="D487">
        <v>1115</v>
      </c>
      <c r="E487" t="s">
        <v>29</v>
      </c>
      <c r="F487" t="str">
        <f t="shared" si="45"/>
        <v>Home</v>
      </c>
      <c r="G487" t="s">
        <v>17</v>
      </c>
      <c r="H487" t="str">
        <f t="shared" si="46"/>
        <v>East</v>
      </c>
      <c r="I487">
        <v>2</v>
      </c>
      <c r="J487">
        <v>228.76</v>
      </c>
      <c r="K487">
        <v>0.35</v>
      </c>
      <c r="L487" t="str">
        <f t="shared" si="47"/>
        <v>Cod</v>
      </c>
      <c r="M487" t="s">
        <v>18</v>
      </c>
      <c r="N487">
        <v>10</v>
      </c>
      <c r="O487">
        <v>2.6</v>
      </c>
      <c r="P487">
        <v>297.39</v>
      </c>
      <c r="Q487">
        <f t="shared" si="43"/>
        <v>297.39</v>
      </c>
      <c r="R487">
        <f t="shared" si="44"/>
        <v>0</v>
      </c>
    </row>
    <row r="488" spans="1:18" x14ac:dyDescent="0.35">
      <c r="A488">
        <v>10487</v>
      </c>
      <c r="B488" s="1">
        <v>44962</v>
      </c>
      <c r="C488" s="1">
        <f t="shared" si="42"/>
        <v>45048</v>
      </c>
      <c r="D488">
        <v>1190</v>
      </c>
      <c r="E488" t="s">
        <v>12</v>
      </c>
      <c r="F488" t="str">
        <f t="shared" si="45"/>
        <v>Beauty</v>
      </c>
      <c r="G488" t="s">
        <v>20</v>
      </c>
      <c r="H488" t="str">
        <f t="shared" si="46"/>
        <v>West</v>
      </c>
      <c r="I488">
        <v>6</v>
      </c>
      <c r="J488">
        <v>290.2</v>
      </c>
      <c r="K488">
        <v>0.21</v>
      </c>
      <c r="L488" t="str">
        <f t="shared" si="47"/>
        <v>Wallet</v>
      </c>
      <c r="M488" t="s">
        <v>14</v>
      </c>
      <c r="N488">
        <v>11</v>
      </c>
      <c r="O488">
        <v>3.9</v>
      </c>
      <c r="P488">
        <v>1375.55</v>
      </c>
      <c r="Q488">
        <f t="shared" si="43"/>
        <v>1375.55</v>
      </c>
      <c r="R488">
        <f t="shared" si="44"/>
        <v>0</v>
      </c>
    </row>
    <row r="489" spans="1:18" x14ac:dyDescent="0.35">
      <c r="A489">
        <v>10488</v>
      </c>
      <c r="B489" s="1">
        <v>44990</v>
      </c>
      <c r="C489" s="1">
        <f t="shared" si="42"/>
        <v>45049</v>
      </c>
      <c r="D489">
        <v>1252</v>
      </c>
      <c r="E489" t="s">
        <v>15</v>
      </c>
      <c r="F489" t="str">
        <f t="shared" si="45"/>
        <v>Clothing</v>
      </c>
      <c r="G489" t="s">
        <v>13</v>
      </c>
      <c r="H489" t="str">
        <f t="shared" si="46"/>
        <v>South</v>
      </c>
      <c r="I489">
        <v>2</v>
      </c>
      <c r="J489">
        <v>170.93</v>
      </c>
      <c r="K489">
        <v>0.02</v>
      </c>
      <c r="L489" t="str">
        <f t="shared" si="47"/>
        <v>Cod</v>
      </c>
      <c r="M489" t="s">
        <v>18</v>
      </c>
      <c r="N489">
        <v>3</v>
      </c>
      <c r="O489">
        <v>4</v>
      </c>
      <c r="P489">
        <v>335.02</v>
      </c>
      <c r="Q489">
        <f t="shared" si="43"/>
        <v>335.02</v>
      </c>
      <c r="R489">
        <f t="shared" si="44"/>
        <v>0</v>
      </c>
    </row>
    <row r="490" spans="1:18" x14ac:dyDescent="0.35">
      <c r="A490">
        <v>10489</v>
      </c>
      <c r="B490" s="1">
        <v>45021</v>
      </c>
      <c r="C490" s="1">
        <f t="shared" si="42"/>
        <v>45050</v>
      </c>
      <c r="D490">
        <v>1980</v>
      </c>
      <c r="E490" t="s">
        <v>19</v>
      </c>
      <c r="F490" t="str">
        <f t="shared" si="45"/>
        <v>Electronics</v>
      </c>
      <c r="G490" t="s">
        <v>21</v>
      </c>
      <c r="H490" t="str">
        <f t="shared" si="46"/>
        <v>North</v>
      </c>
      <c r="I490">
        <v>6</v>
      </c>
      <c r="J490">
        <v>216.75</v>
      </c>
      <c r="K490">
        <v>0.02</v>
      </c>
      <c r="L490" t="str">
        <f t="shared" si="47"/>
        <v>Card</v>
      </c>
      <c r="M490" t="s">
        <v>16</v>
      </c>
      <c r="N490">
        <v>7</v>
      </c>
      <c r="O490">
        <v>4.4000000000000004</v>
      </c>
      <c r="P490">
        <v>1274.49</v>
      </c>
      <c r="Q490">
        <f t="shared" si="43"/>
        <v>1274.49</v>
      </c>
      <c r="R490">
        <f t="shared" si="44"/>
        <v>0</v>
      </c>
    </row>
    <row r="491" spans="1:18" x14ac:dyDescent="0.35">
      <c r="A491">
        <v>10490</v>
      </c>
      <c r="B491" s="1">
        <v>45051</v>
      </c>
      <c r="C491" s="1">
        <f t="shared" si="42"/>
        <v>45051</v>
      </c>
      <c r="D491">
        <v>1927</v>
      </c>
      <c r="E491" t="s">
        <v>19</v>
      </c>
      <c r="F491" t="str">
        <f t="shared" si="45"/>
        <v>Electronics</v>
      </c>
      <c r="G491" t="s">
        <v>21</v>
      </c>
      <c r="H491" t="str">
        <f t="shared" si="46"/>
        <v>North</v>
      </c>
      <c r="I491">
        <v>7</v>
      </c>
      <c r="J491">
        <v>394.69</v>
      </c>
      <c r="K491">
        <v>0.31</v>
      </c>
      <c r="L491" t="str">
        <f t="shared" si="47"/>
        <v>Cod</v>
      </c>
      <c r="M491" t="s">
        <v>18</v>
      </c>
      <c r="N491">
        <v>8</v>
      </c>
      <c r="O491">
        <v>1.8</v>
      </c>
      <c r="P491">
        <v>1906.35</v>
      </c>
      <c r="Q491">
        <f t="shared" si="43"/>
        <v>1906.35</v>
      </c>
      <c r="R491">
        <f t="shared" si="44"/>
        <v>0</v>
      </c>
    </row>
    <row r="492" spans="1:18" x14ac:dyDescent="0.35">
      <c r="A492">
        <v>10491</v>
      </c>
      <c r="B492" s="1">
        <v>45082</v>
      </c>
      <c r="C492" s="1">
        <f t="shared" si="42"/>
        <v>45052</v>
      </c>
      <c r="D492">
        <v>1982</v>
      </c>
      <c r="E492" t="s">
        <v>12</v>
      </c>
      <c r="F492" t="str">
        <f t="shared" si="45"/>
        <v>Beauty</v>
      </c>
      <c r="G492" t="s">
        <v>20</v>
      </c>
      <c r="H492" t="str">
        <f t="shared" si="46"/>
        <v>West</v>
      </c>
      <c r="I492">
        <v>2</v>
      </c>
      <c r="J492">
        <v>531.44000000000005</v>
      </c>
      <c r="K492">
        <v>0.28999999999999998</v>
      </c>
      <c r="L492" t="str">
        <f t="shared" si="47"/>
        <v>Cod</v>
      </c>
      <c r="M492" t="s">
        <v>18</v>
      </c>
      <c r="N492">
        <v>5</v>
      </c>
      <c r="O492">
        <v>3.8</v>
      </c>
      <c r="P492">
        <v>754.64</v>
      </c>
      <c r="Q492">
        <f t="shared" si="43"/>
        <v>754.64</v>
      </c>
      <c r="R492">
        <f t="shared" si="44"/>
        <v>0</v>
      </c>
    </row>
    <row r="493" spans="1:18" x14ac:dyDescent="0.35">
      <c r="A493">
        <v>10492</v>
      </c>
      <c r="B493" s="1">
        <v>45112</v>
      </c>
      <c r="C493" s="1">
        <f t="shared" si="42"/>
        <v>45053</v>
      </c>
      <c r="D493">
        <v>1160</v>
      </c>
      <c r="E493" t="s">
        <v>19</v>
      </c>
      <c r="F493" t="str">
        <f t="shared" si="45"/>
        <v>Electronics</v>
      </c>
      <c r="G493" t="s">
        <v>17</v>
      </c>
      <c r="H493" t="str">
        <f t="shared" si="46"/>
        <v>East</v>
      </c>
      <c r="I493">
        <v>4</v>
      </c>
      <c r="J493">
        <v>122.72</v>
      </c>
      <c r="K493">
        <v>0.12</v>
      </c>
      <c r="L493" t="str">
        <f t="shared" si="47"/>
        <v>Card</v>
      </c>
      <c r="M493" t="s">
        <v>16</v>
      </c>
      <c r="N493">
        <v>5</v>
      </c>
      <c r="O493">
        <v>1.1000000000000001</v>
      </c>
      <c r="P493">
        <v>431.97</v>
      </c>
      <c r="Q493">
        <f t="shared" si="43"/>
        <v>431.97</v>
      </c>
      <c r="R493">
        <f t="shared" si="44"/>
        <v>0</v>
      </c>
    </row>
    <row r="494" spans="1:18" x14ac:dyDescent="0.35">
      <c r="A494">
        <v>10493</v>
      </c>
      <c r="B494" s="1">
        <v>45143</v>
      </c>
      <c r="C494" s="1">
        <f t="shared" si="42"/>
        <v>45054</v>
      </c>
      <c r="D494">
        <v>1255</v>
      </c>
      <c r="E494" t="s">
        <v>19</v>
      </c>
      <c r="F494" t="str">
        <f t="shared" si="45"/>
        <v>Electronics</v>
      </c>
      <c r="G494" t="s">
        <v>21</v>
      </c>
      <c r="H494" t="str">
        <f t="shared" si="46"/>
        <v>North</v>
      </c>
      <c r="I494">
        <v>1</v>
      </c>
      <c r="J494">
        <v>506.61</v>
      </c>
      <c r="K494">
        <v>0.22</v>
      </c>
      <c r="L494" t="str">
        <f t="shared" si="47"/>
        <v>Cod</v>
      </c>
      <c r="M494" t="s">
        <v>18</v>
      </c>
      <c r="N494">
        <v>4</v>
      </c>
      <c r="O494">
        <v>1.5</v>
      </c>
      <c r="P494">
        <v>395.16</v>
      </c>
      <c r="Q494">
        <f t="shared" si="43"/>
        <v>395.16</v>
      </c>
      <c r="R494">
        <f t="shared" si="44"/>
        <v>0</v>
      </c>
    </row>
    <row r="495" spans="1:18" x14ac:dyDescent="0.35">
      <c r="A495">
        <v>10494</v>
      </c>
      <c r="B495" s="1">
        <v>45174</v>
      </c>
      <c r="C495" s="1">
        <f t="shared" si="42"/>
        <v>45055</v>
      </c>
      <c r="D495">
        <v>1322</v>
      </c>
      <c r="E495" t="s">
        <v>15</v>
      </c>
      <c r="F495" t="str">
        <f t="shared" si="45"/>
        <v>Clothing</v>
      </c>
      <c r="G495" t="s">
        <v>17</v>
      </c>
      <c r="H495" t="str">
        <f t="shared" si="46"/>
        <v>East</v>
      </c>
      <c r="I495">
        <v>7</v>
      </c>
      <c r="J495">
        <v>86.11</v>
      </c>
      <c r="K495">
        <v>0.17</v>
      </c>
      <c r="L495" t="str">
        <f t="shared" si="47"/>
        <v>Card</v>
      </c>
      <c r="M495" t="s">
        <v>16</v>
      </c>
      <c r="N495">
        <v>10</v>
      </c>
      <c r="O495">
        <v>4.0999999999999996</v>
      </c>
      <c r="P495">
        <v>500.3</v>
      </c>
      <c r="Q495">
        <f t="shared" si="43"/>
        <v>500.3</v>
      </c>
      <c r="R495">
        <f t="shared" si="44"/>
        <v>0</v>
      </c>
    </row>
    <row r="496" spans="1:18" x14ac:dyDescent="0.35">
      <c r="A496">
        <v>10495</v>
      </c>
      <c r="B496" s="1">
        <v>45204</v>
      </c>
      <c r="C496" s="1">
        <f t="shared" si="42"/>
        <v>45056</v>
      </c>
      <c r="D496">
        <v>1127</v>
      </c>
      <c r="E496" t="s">
        <v>15</v>
      </c>
      <c r="F496" t="str">
        <f t="shared" si="45"/>
        <v>Clothing</v>
      </c>
      <c r="G496" t="s">
        <v>20</v>
      </c>
      <c r="H496" t="str">
        <f t="shared" si="46"/>
        <v>West</v>
      </c>
      <c r="I496">
        <v>4</v>
      </c>
      <c r="J496">
        <v>140.77000000000001</v>
      </c>
      <c r="K496">
        <v>0.34</v>
      </c>
      <c r="L496" t="str">
        <f t="shared" si="47"/>
        <v>Card</v>
      </c>
      <c r="M496" t="s">
        <v>16</v>
      </c>
      <c r="N496">
        <v>5</v>
      </c>
      <c r="O496">
        <v>4.3</v>
      </c>
      <c r="P496">
        <v>371.63</v>
      </c>
      <c r="Q496">
        <f t="shared" si="43"/>
        <v>371.63</v>
      </c>
      <c r="R496">
        <f t="shared" si="44"/>
        <v>0</v>
      </c>
    </row>
    <row r="497" spans="1:18" x14ac:dyDescent="0.35">
      <c r="A497">
        <v>10496</v>
      </c>
      <c r="B497" s="1">
        <v>45235</v>
      </c>
      <c r="C497" s="1">
        <f t="shared" si="42"/>
        <v>45057</v>
      </c>
      <c r="D497">
        <v>1017</v>
      </c>
      <c r="E497" t="s">
        <v>15</v>
      </c>
      <c r="F497" t="str">
        <f t="shared" si="45"/>
        <v>Clothing</v>
      </c>
      <c r="G497" t="s">
        <v>13</v>
      </c>
      <c r="H497" t="str">
        <f t="shared" si="46"/>
        <v>South</v>
      </c>
      <c r="I497">
        <v>3</v>
      </c>
      <c r="J497">
        <v>36.75</v>
      </c>
      <c r="K497">
        <v>0.33</v>
      </c>
      <c r="L497" t="str">
        <f t="shared" si="47"/>
        <v>Wallet</v>
      </c>
      <c r="M497" t="s">
        <v>14</v>
      </c>
      <c r="N497">
        <v>10</v>
      </c>
      <c r="O497">
        <v>3.4</v>
      </c>
      <c r="P497">
        <v>73.87</v>
      </c>
      <c r="Q497">
        <f t="shared" si="43"/>
        <v>73.87</v>
      </c>
      <c r="R497">
        <f t="shared" si="44"/>
        <v>0</v>
      </c>
    </row>
    <row r="498" spans="1:18" x14ac:dyDescent="0.35">
      <c r="A498">
        <v>10497</v>
      </c>
      <c r="B498" s="1">
        <v>45265</v>
      </c>
      <c r="C498" s="1">
        <f t="shared" si="42"/>
        <v>45058</v>
      </c>
      <c r="D498">
        <v>1792</v>
      </c>
      <c r="E498" t="s">
        <v>19</v>
      </c>
      <c r="F498" t="str">
        <f t="shared" si="45"/>
        <v>Electronics</v>
      </c>
      <c r="G498" t="s">
        <v>21</v>
      </c>
      <c r="H498" t="str">
        <f t="shared" si="46"/>
        <v>North</v>
      </c>
      <c r="I498">
        <v>6</v>
      </c>
      <c r="J498">
        <v>97.37</v>
      </c>
      <c r="K498">
        <v>0.34</v>
      </c>
      <c r="L498" t="str">
        <f t="shared" si="47"/>
        <v>Wallet</v>
      </c>
      <c r="M498" t="s">
        <v>14</v>
      </c>
      <c r="N498">
        <v>11</v>
      </c>
      <c r="O498">
        <v>3.3</v>
      </c>
      <c r="P498">
        <v>385.59</v>
      </c>
      <c r="Q498">
        <f t="shared" si="43"/>
        <v>385.59</v>
      </c>
      <c r="R498">
        <f t="shared" si="44"/>
        <v>0</v>
      </c>
    </row>
    <row r="499" spans="1:18" x14ac:dyDescent="0.35">
      <c r="A499">
        <v>10498</v>
      </c>
      <c r="B499" t="s">
        <v>316</v>
      </c>
      <c r="C499" s="1">
        <f t="shared" si="42"/>
        <v>45059</v>
      </c>
      <c r="D499">
        <v>1734</v>
      </c>
      <c r="E499" t="s">
        <v>19</v>
      </c>
      <c r="F499" t="str">
        <f t="shared" si="45"/>
        <v>Electronics</v>
      </c>
      <c r="G499" t="s">
        <v>17</v>
      </c>
      <c r="H499" t="str">
        <f t="shared" si="46"/>
        <v>East</v>
      </c>
      <c r="I499">
        <v>1</v>
      </c>
      <c r="J499">
        <v>551.62</v>
      </c>
      <c r="K499">
        <v>0.3</v>
      </c>
      <c r="L499" t="str">
        <f t="shared" si="47"/>
        <v>Cod</v>
      </c>
      <c r="M499" t="s">
        <v>18</v>
      </c>
      <c r="N499">
        <v>8</v>
      </c>
      <c r="O499">
        <v>4</v>
      </c>
      <c r="P499">
        <v>386.13</v>
      </c>
      <c r="Q499">
        <f t="shared" si="43"/>
        <v>386.13</v>
      </c>
      <c r="R499">
        <f t="shared" si="44"/>
        <v>0</v>
      </c>
    </row>
    <row r="500" spans="1:18" x14ac:dyDescent="0.35">
      <c r="A500">
        <v>10499</v>
      </c>
      <c r="B500" t="s">
        <v>317</v>
      </c>
      <c r="C500" s="1">
        <f t="shared" si="42"/>
        <v>45060</v>
      </c>
      <c r="D500">
        <v>1565</v>
      </c>
      <c r="E500" t="s">
        <v>12</v>
      </c>
      <c r="F500" t="str">
        <f t="shared" si="45"/>
        <v>Beauty</v>
      </c>
      <c r="G500" t="s">
        <v>21</v>
      </c>
      <c r="H500" t="str">
        <f t="shared" si="46"/>
        <v>North</v>
      </c>
      <c r="I500">
        <v>4</v>
      </c>
      <c r="J500">
        <v>283.77</v>
      </c>
      <c r="K500">
        <v>0.32</v>
      </c>
      <c r="L500" t="str">
        <f t="shared" si="47"/>
        <v>Cod</v>
      </c>
      <c r="M500" t="s">
        <v>18</v>
      </c>
      <c r="N500">
        <v>5</v>
      </c>
      <c r="O500">
        <v>4.5999999999999996</v>
      </c>
      <c r="P500">
        <v>771.85</v>
      </c>
      <c r="Q500">
        <f t="shared" si="43"/>
        <v>771.85</v>
      </c>
      <c r="R500">
        <f t="shared" si="44"/>
        <v>0</v>
      </c>
    </row>
    <row r="501" spans="1:18" x14ac:dyDescent="0.35">
      <c r="A501">
        <v>10500</v>
      </c>
      <c r="B501" t="s">
        <v>318</v>
      </c>
      <c r="C501" s="1">
        <f t="shared" si="42"/>
        <v>45061</v>
      </c>
      <c r="D501">
        <v>1569</v>
      </c>
      <c r="E501" t="s">
        <v>19</v>
      </c>
      <c r="F501" t="str">
        <f t="shared" si="45"/>
        <v>Electronics</v>
      </c>
      <c r="G501" t="s">
        <v>17</v>
      </c>
      <c r="H501" t="str">
        <f t="shared" si="46"/>
        <v>East</v>
      </c>
      <c r="I501">
        <v>1</v>
      </c>
      <c r="J501">
        <v>60.43</v>
      </c>
      <c r="K501">
        <v>0.08</v>
      </c>
      <c r="L501" t="str">
        <f t="shared" si="47"/>
        <v>Wallet</v>
      </c>
      <c r="M501" t="s">
        <v>14</v>
      </c>
      <c r="N501">
        <v>9</v>
      </c>
      <c r="O501">
        <v>2.7</v>
      </c>
      <c r="P501">
        <v>55.6</v>
      </c>
      <c r="Q501">
        <f t="shared" si="43"/>
        <v>55.6</v>
      </c>
      <c r="R501">
        <f t="shared" si="44"/>
        <v>0</v>
      </c>
    </row>
  </sheetData>
  <conditionalFormatting sqref="A1:A501">
    <cfRule type="duplicateValues" dxfId="16" priority="7"/>
  </conditionalFormatting>
  <conditionalFormatting sqref="A2:A501">
    <cfRule type="duplicateValues" dxfId="15" priority="6"/>
  </conditionalFormatting>
  <conditionalFormatting sqref="F1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{C1446BDD-0DF4-48C4-A358-693432B0582E}</x14:id>
        </ext>
      </extLst>
    </cfRule>
  </conditionalFormatting>
  <conditionalFormatting sqref="F2:F501">
    <cfRule type="containsText" dxfId="14" priority="5" operator="containsText" text="clothing">
      <formula>NOT(ISERROR(SEARCH("clothing",F2)))</formula>
    </cfRule>
    <cfRule type="containsText" dxfId="13" priority="10" operator="containsText" text="clothing">
      <formula>NOT(ISERROR(SEARCH("clothing",F2)))</formula>
    </cfRule>
    <cfRule type="containsText" dxfId="11" priority="12" operator="containsText" text="electronics">
      <formula>NOT(ISERROR(SEARCH("electronics",F2)))</formula>
    </cfRule>
    <cfRule type="containsText" dxfId="10" priority="13" operator="containsText" text="clothes">
      <formula>NOT(ISERROR(SEARCH("clothes",F2)))</formula>
    </cfRule>
    <cfRule type="containsText" dxfId="9" priority="14" operator="containsText" text="beauty">
      <formula>NOT(ISERROR(SEARCH("beauty",F2)))</formula>
    </cfRule>
  </conditionalFormatting>
  <conditionalFormatting sqref="F471:F501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:H501">
    <cfRule type="containsText" dxfId="8" priority="2" operator="containsText" text="north">
      <formula>NOT(ISERROR(SEARCH("north",H2)))</formula>
    </cfRule>
    <cfRule type="containsText" dxfId="7" priority="3" operator="containsText" text="west">
      <formula>NOT(ISERROR(SEARCH("west",H2)))</formula>
    </cfRule>
    <cfRule type="containsText" dxfId="6" priority="4" operator="containsText" text="east">
      <formula>NOT(ISERROR(SEARCH("east",H2)))</formula>
    </cfRule>
  </conditionalFormatting>
  <conditionalFormatting sqref="J2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:J501">
    <cfRule type="cellIs" dxfId="5" priority="17" operator="lessThan">
      <formula>307.55</formula>
    </cfRule>
    <cfRule type="cellIs" dxfId="4" priority="20" operator="greaterThan">
      <formula>307.55</formula>
    </cfRule>
  </conditionalFormatting>
  <conditionalFormatting sqref="J496">
    <cfRule type="cellIs" dxfId="3" priority="18" operator="lessThan">
      <formula>140.77</formula>
    </cfRule>
  </conditionalFormatting>
  <conditionalFormatting sqref="J501">
    <cfRule type="cellIs" dxfId="2" priority="19" operator="greaterThan">
      <formula>500</formula>
    </cfRule>
  </conditionalFormatting>
  <conditionalFormatting sqref="M2:M501">
    <cfRule type="containsText" dxfId="1" priority="8" operator="containsText" text="COD">
      <formula>NOT(ISERROR(SEARCH("COD",M2)))</formula>
    </cfRule>
    <cfRule type="containsText" dxfId="0" priority="9" operator="containsText" text="Wallet">
      <formula>NOT(ISERROR(SEARCH("Wallet",M2)))</formula>
    </cfRule>
  </conditionalFormatting>
  <conditionalFormatting sqref="P2:P501">
    <cfRule type="dataBar" priority="1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{F4311A0F-E827-4312-B3D8-BBF03447AF25}</x14:id>
        </ext>
      </extLst>
    </cfRule>
  </conditionalFormatting>
  <pageMargins left="0.7" right="0.7" top="0.75" bottom="0.75" header="0.3" footer="0.3"/>
  <pageSetup orientation="portrait" horizontalDpi="300" verticalDpi="300" r:id="rId1"/>
  <tableParts count="2">
    <tablePart r:id="rId2"/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1446BDD-0DF4-48C4-A358-693432B0582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</xm:sqref>
        </x14:conditionalFormatting>
        <x14:conditionalFormatting xmlns:xm="http://schemas.microsoft.com/office/excel/2006/main">
          <x14:cfRule type="containsText" priority="11" operator="containsText" id="{DA201571-62A0-4E99-BE93-2440015D98B0}">
            <xm:f>NOT(ISERROR(SEARCH(home,F2)))</xm:f>
            <xm:f>home</xm:f>
            <x14:dxf>
              <border>
                <left style="thin">
                  <color rgb="FF9C0006"/>
                </left>
                <right style="thin">
                  <color rgb="FF9C0006"/>
                </right>
                <top style="thin">
                  <color rgb="FF9C0006"/>
                </top>
                <bottom style="thin">
                  <color rgb="FF9C0006"/>
                </bottom>
              </border>
            </x14:dxf>
          </x14:cfRule>
          <xm:sqref>F2:F501</xm:sqref>
        </x14:conditionalFormatting>
        <x14:conditionalFormatting xmlns:xm="http://schemas.microsoft.com/office/excel/2006/main">
          <x14:cfRule type="iconSet" priority="1" id="{0728C239-F2AF-48C5-BADF-18266BC8E25F}">
            <x14:iconSet iconSet="3Star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O2:O501</xm:sqref>
        </x14:conditionalFormatting>
        <x14:conditionalFormatting xmlns:xm="http://schemas.microsoft.com/office/excel/2006/main">
          <x14:cfRule type="dataBar" id="{F4311A0F-E827-4312-B3D8-BBF03447AF2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P2:P501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E_commerce sales original data</vt:lpstr>
      <vt:lpstr>pivot tables</vt:lpstr>
      <vt:lpstr>E_commerce_sales_cleaned 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Ashok</dc:creator>
  <cp:lastModifiedBy>Ashok</cp:lastModifiedBy>
  <dcterms:created xsi:type="dcterms:W3CDTF">2026-09-25T06:58:18Z</dcterms:created>
  <dcterms:modified xsi:type="dcterms:W3CDTF">2026-10-03T14:17:18Z</dcterms:modified>
</cp:coreProperties>
</file>